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Ciência de Dados\"/>
    </mc:Choice>
  </mc:AlternateContent>
  <bookViews>
    <workbookView xWindow="0" yWindow="0" windowWidth="14370" windowHeight="7335"/>
  </bookViews>
  <sheets>
    <sheet name="Planilha1" sheetId="1" r:id="rId1"/>
    <sheet name="Dispersão" sheetId="4" r:id="rId2"/>
    <sheet name="Planilha5" sheetId="5" r:id="rId3"/>
    <sheet name="Amostragem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B22" i="1"/>
  <c r="D4" i="6" l="1"/>
  <c r="F3" i="6"/>
  <c r="E4" i="6"/>
  <c r="F4" i="6"/>
  <c r="E5" i="6"/>
  <c r="F5" i="6"/>
  <c r="D5" i="6"/>
  <c r="E3" i="6"/>
  <c r="D3" i="6"/>
  <c r="B17" i="4"/>
  <c r="C15" i="4"/>
  <c r="B21" i="1"/>
  <c r="B20" i="1" l="1"/>
  <c r="B19" i="1"/>
  <c r="B18" i="1"/>
  <c r="B17" i="1"/>
</calcChain>
</file>

<file path=xl/sharedStrings.xml><?xml version="1.0" encoding="utf-8"?>
<sst xmlns="http://schemas.openxmlformats.org/spreadsheetml/2006/main" count="99" uniqueCount="43">
  <si>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</si>
  <si>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</si>
  <si>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</si>
  <si>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</si>
  <si>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</si>
  <si>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</si>
  <si>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</si>
  <si>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</si>
  <si>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</si>
  <si>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</si>
  <si>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</si>
  <si>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</si>
  <si>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</si>
  <si>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Nível de confiança(95,0%)</t>
  </si>
  <si>
    <t>MÉDIA</t>
  </si>
  <si>
    <t>MEDIANA</t>
  </si>
  <si>
    <t>MODA</t>
  </si>
  <si>
    <t>CV</t>
  </si>
  <si>
    <t>VARIÂNCIA</t>
  </si>
  <si>
    <t>DESVIO PADRÃO</t>
  </si>
  <si>
    <t>Produção(T)</t>
  </si>
  <si>
    <t>Defeito(kg)</t>
  </si>
  <si>
    <t>Funcionário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</si>
  <si>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</si>
  <si>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</si>
  <si>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</si>
  <si>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</si>
  <si>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</si>
  <si>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</si>
  <si>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</si>
  <si>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</si>
  <si>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</si>
  <si>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</si>
  <si>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</si>
  <si>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</si>
  <si>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</si>
  <si>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Correlação</t>
  </si>
  <si>
    <t>Previsão</t>
  </si>
  <si>
    <t>alterar os valores e criar os gráficos</t>
  </si>
  <si>
    <t>e</t>
  </si>
  <si>
    <t>N</t>
  </si>
  <si>
    <t>%</t>
  </si>
  <si>
    <t>Coeficiente de determinação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</si>
</sst>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9" fontId="0" fillId="0" borderId="3" xfId="1" applyFont="1" applyBorder="1" applyAlignment="1">
      <alignment horizontal="center"/>
    </xf>
    <xf numFmtId="9" fontId="0" fillId="0" borderId="3" xfId="1" applyFont="1" applyBorder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Dispersão!$D$1</c:f>
              <c:strCache>
                <c:ptCount val="1"/>
                <c:pt idx="0">
                  <c:v>Defeito(kg)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Dispersão!$C$2:$C$13</c:f>
              <c:numCache>
                <c:formatCode>General</c:formatCode>
                <c:ptCount val="12"/>
                <c:pt idx="0">
                  <c:v>120</c:v>
                </c:pt>
                <c:pt idx="1">
                  <c:v>121</c:v>
                </c:pt>
                <c:pt idx="2">
                  <c:v>127</c:v>
                </c:pt>
                <c:pt idx="3">
                  <c:v>130</c:v>
                </c:pt>
                <c:pt idx="4">
                  <c:v>128</c:v>
                </c:pt>
                <c:pt idx="5">
                  <c:v>121</c:v>
                </c:pt>
                <c:pt idx="6">
                  <c:v>131</c:v>
                </c:pt>
                <c:pt idx="7">
                  <c:v>127</c:v>
                </c:pt>
                <c:pt idx="8">
                  <c:v>125</c:v>
                </c:pt>
                <c:pt idx="9">
                  <c:v>133</c:v>
                </c:pt>
                <c:pt idx="10">
                  <c:v>129</c:v>
                </c:pt>
                <c:pt idx="11">
                  <c:v>131</c:v>
                </c:pt>
              </c:numCache>
            </c:numRef>
          </c:xVal>
          <c:yVal>
            <c:numRef>
              <c:f>Dispersão!$D$2:$D$13</c:f>
              <c:numCache>
                <c:formatCode>General</c:formatCode>
                <c:ptCount val="12"/>
                <c:pt idx="0">
                  <c:v>9</c:v>
                </c:pt>
                <c:pt idx="1">
                  <c:v>10</c:v>
                </c:pt>
                <c:pt idx="2">
                  <c:v>13</c:v>
                </c:pt>
                <c:pt idx="3">
                  <c:v>15</c:v>
                </c:pt>
                <c:pt idx="4">
                  <c:v>13</c:v>
                </c:pt>
                <c:pt idx="5">
                  <c:v>9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18</c:v>
                </c:pt>
                <c:pt idx="10">
                  <c:v>17</c:v>
                </c:pt>
                <c:pt idx="1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A-437F-83A6-DA90BE3EF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260760"/>
        <c:axId val="638261088"/>
      </c:scatterChart>
      <c:valAx>
        <c:axId val="63826076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261088"/>
        <c:crosses val="autoZero"/>
        <c:crossBetween val="midCat"/>
      </c:valAx>
      <c:valAx>
        <c:axId val="63826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260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371474</xdr:colOff>
      <xdr:row>15</xdr:row>
      <xdr:rowOff>19051</xdr:rowOff>
    </xdr:from>
    <xdr:to>
      <xdr:col>13</xdr:col>
      <xdr:colOff>266699</xdr:colOff>
      <xdr:row>35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DD636F-B83A-47AC-A329-A05955F7F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5"/>
  <sheetViews>
    <sheetView tabSelected="1" workbookViewId="0">
      <selection activeCell="C25" sqref="C25"/>
    </sheetView>
  </sheetViews>
  <sheetFormatPr defaultRowHeight="15" x14ac:dyDescent="0.25"/>
  <cols>
    <col min="1" max="1" width="15.7109375" bestFit="1" customWidth="1"/>
    <col min="3" max="3" width="24.140625" bestFit="1" customWidth="1"/>
    <col min="4" max="4" width="12.7109375" bestFit="1" customWidth="1"/>
  </cols>
  <sheetData>
    <row r="2" spans="1:4" x14ac:dyDescent="0.25">
      <c r="A2" s="5">
        <v>30</v>
      </c>
      <c r="C2" s="8" t="s">
        <v>0</v>
      </c>
      <c r="D2" s="8">
        <v>38.25</v>
      </c>
    </row>
    <row r="3" spans="1:4" x14ac:dyDescent="0.25">
      <c r="A3" s="5">
        <v>33</v>
      </c>
      <c r="C3" s="8" t="s">
        <v>1</v>
      </c>
      <c r="D3" s="8">
        <v>0.87147558598603148</v>
      </c>
    </row>
    <row r="4" spans="1:4" x14ac:dyDescent="0.25">
      <c r="A4" s="5">
        <v>37</v>
      </c>
      <c r="C4" s="8" t="s">
        <v>2</v>
      </c>
      <c r="D4" s="8">
        <v>38</v>
      </c>
    </row>
    <row r="5" spans="1:4" x14ac:dyDescent="0.25">
      <c r="A5" s="5">
        <v>38</v>
      </c>
      <c r="C5" s="8" t="s">
        <v>3</v>
      </c>
      <c r="D5" s="8">
        <v>41</v>
      </c>
    </row>
    <row r="6" spans="1:4" x14ac:dyDescent="0.25">
      <c r="A6" s="5">
        <v>41</v>
      </c>
      <c r="C6" s="8" t="s">
        <v>4</v>
      </c>
      <c r="D6" s="8">
        <v>3.0188799849673327</v>
      </c>
    </row>
    <row r="7" spans="1:4" x14ac:dyDescent="0.25">
      <c r="A7" s="5">
        <v>38</v>
      </c>
      <c r="C7" s="8" t="s">
        <v>5</v>
      </c>
      <c r="D7" s="8">
        <v>9.1136363636363633</v>
      </c>
    </row>
    <row r="8" spans="1:4" x14ac:dyDescent="0.25">
      <c r="A8" s="5">
        <v>35</v>
      </c>
      <c r="C8" s="8" t="s">
        <v>6</v>
      </c>
      <c r="D8" s="8">
        <v>-0.85038774634486147</v>
      </c>
    </row>
    <row r="9" spans="1:4" x14ac:dyDescent="0.25">
      <c r="A9" s="5">
        <v>40</v>
      </c>
      <c r="C9" s="8" t="s">
        <v>7</v>
      </c>
      <c r="D9" s="8">
        <v>-0.16801990232314257</v>
      </c>
    </row>
    <row r="10" spans="1:4" x14ac:dyDescent="0.25">
      <c r="A10" s="5">
        <v>41</v>
      </c>
      <c r="C10" s="8" t="s">
        <v>8</v>
      </c>
      <c r="D10" s="8">
        <v>10</v>
      </c>
    </row>
    <row r="11" spans="1:4" x14ac:dyDescent="0.25">
      <c r="A11" s="5">
        <v>43</v>
      </c>
      <c r="C11" s="8" t="s">
        <v>9</v>
      </c>
      <c r="D11" s="8">
        <v>33</v>
      </c>
    </row>
    <row r="12" spans="1:4" x14ac:dyDescent="0.25">
      <c r="A12" s="5">
        <v>41</v>
      </c>
      <c r="C12" s="8" t="s">
        <v>10</v>
      </c>
      <c r="D12" s="8">
        <v>43</v>
      </c>
    </row>
    <row r="13" spans="1:4" x14ac:dyDescent="0.25">
      <c r="A13" s="5">
        <v>37</v>
      </c>
      <c r="C13" s="8" t="s">
        <v>11</v>
      </c>
      <c r="D13" s="8">
        <v>459</v>
      </c>
    </row>
    <row r="14" spans="1:4" x14ac:dyDescent="0.25">
      <c r="A14" s="5">
        <v>35</v>
      </c>
      <c r="C14" s="8" t="s">
        <v>12</v>
      </c>
      <c r="D14" s="8">
        <v>12</v>
      </c>
    </row>
    <row r="15" spans="1:4" x14ac:dyDescent="0.25">
      <c r="C15" s="8" t="s">
        <v>13</v>
      </c>
      <c r="D15" s="8">
        <v>1.9181048321374199</v>
      </c>
    </row>
    <row r="16" spans="1:4" x14ac:dyDescent="0.25">
      <c r="C16" s="8" t="s">
        <v>17</v>
      </c>
      <c r="D16" s="18">
        <f>D6/D2</f>
        <v>7.8924966927250526E-2</v>
      </c>
    </row>
    <row r="17" spans="1:3" x14ac:dyDescent="0.25">
      <c r="A17" s="5" t="s">
        <v>14</v>
      </c>
      <c r="B17" s="5">
        <f>AVERAGE(A2:A14)</f>
        <v>37.615384615384613</v>
      </c>
    </row>
    <row r="18" spans="1:3" x14ac:dyDescent="0.25">
      <c r="A18" s="5" t="s">
        <v>15</v>
      </c>
      <c r="B18" s="5">
        <f>MEDIAN(A2:A14)</f>
        <v>38</v>
      </c>
    </row>
    <row r="19" spans="1:3" x14ac:dyDescent="0.25">
      <c r="A19" s="5" t="s">
        <v>16</v>
      </c>
      <c r="B19" s="5">
        <f>MODE(A2:A14)</f>
        <v>41</v>
      </c>
    </row>
    <row r="20" spans="1:3" x14ac:dyDescent="0.25">
      <c r="A20" s="5" t="s">
        <v>18</v>
      </c>
      <c r="B20" s="5">
        <f>_xlfn.VAR.S(A2:A14)</f>
        <v>13.589743589743589</v>
      </c>
    </row>
    <row r="21" spans="1:3" x14ac:dyDescent="0.25">
      <c r="A21" s="5" t="s">
        <v>19</v>
      </c>
      <c r="B21" s="5">
        <f>_xlfn.STDEV.S(A2:A14)</f>
        <v>3.686426940784747</v>
      </c>
    </row>
    <row r="22" spans="1:3" x14ac:dyDescent="0.25">
      <c r="A22" s="5" t="s">
        <v>17</v>
      </c>
      <c r="B22" s="17">
        <f>B21/B17</f>
        <v>9.8003170204911477E-2</v>
      </c>
    </row>
    <row r="23" spans="1:3" x14ac:dyDescent="0.25">
      <c r="B23" s="9"/>
    </row>
    <row r="25" spans="1:3" x14ac:dyDescent="0.25">
      <c r="C25" s="1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C17" sqref="C17"/>
    </sheetView>
  </sheetViews>
  <sheetFormatPr defaultRowHeight="15" x14ac:dyDescent="0.25"/>
  <cols>
    <col min="2" max="2" width="14.42578125" customWidth="1"/>
    <col min="3" max="3" width="14.140625" customWidth="1"/>
    <col min="4" max="4" width="11.140625" bestFit="1" customWidth="1"/>
    <col min="5" max="5" width="11.42578125" bestFit="1" customWidth="1"/>
    <col min="7" max="7" width="24.140625" bestFit="1" customWidth="1"/>
    <col min="8" max="8" width="12.7109375" bestFit="1" customWidth="1"/>
    <col min="10" max="10" width="24.140625" bestFit="1" customWidth="1"/>
    <col min="11" max="11" width="12.7109375" bestFit="1" customWidth="1"/>
  </cols>
  <sheetData>
    <row r="1" spans="1:11" x14ac:dyDescent="0.25">
      <c r="B1" s="5" t="s">
        <v>23</v>
      </c>
      <c r="C1" s="10" t="s">
        <v>20</v>
      </c>
      <c r="D1" s="10" t="s">
        <v>21</v>
      </c>
      <c r="E1" s="10" t="s">
        <v>22</v>
      </c>
      <c r="G1" s="14" t="s">
        <v>20</v>
      </c>
      <c r="H1" s="15"/>
      <c r="J1" s="14" t="s">
        <v>21</v>
      </c>
      <c r="K1" s="15"/>
    </row>
    <row r="2" spans="1:11" x14ac:dyDescent="0.25">
      <c r="B2" s="5" t="s">
        <v>24</v>
      </c>
      <c r="C2" s="10">
        <v>120</v>
      </c>
      <c r="D2" s="10">
        <v>9</v>
      </c>
      <c r="E2" s="10">
        <v>17</v>
      </c>
      <c r="G2" s="8" t="s">
        <v>0</v>
      </c>
      <c r="H2" s="8">
        <v>126.91666666666667</v>
      </c>
      <c r="J2" s="8" t="s">
        <v>0</v>
      </c>
      <c r="K2" s="8">
        <v>13.666666666666666</v>
      </c>
    </row>
    <row r="3" spans="1:11" x14ac:dyDescent="0.25">
      <c r="B3" s="5" t="s">
        <v>25</v>
      </c>
      <c r="C3" s="10">
        <v>121</v>
      </c>
      <c r="D3" s="10">
        <v>10</v>
      </c>
      <c r="E3" s="10">
        <v>17</v>
      </c>
      <c r="G3" s="8" t="s">
        <v>1</v>
      </c>
      <c r="H3" s="8">
        <v>1.2520185721667654</v>
      </c>
      <c r="J3" s="8" t="s">
        <v>1</v>
      </c>
      <c r="K3" s="8">
        <v>0.87328475460542743</v>
      </c>
    </row>
    <row r="4" spans="1:11" x14ac:dyDescent="0.25">
      <c r="B4" s="5" t="s">
        <v>26</v>
      </c>
      <c r="C4" s="10">
        <v>127</v>
      </c>
      <c r="D4" s="10">
        <v>13</v>
      </c>
      <c r="E4" s="10">
        <v>17</v>
      </c>
      <c r="G4" s="8" t="s">
        <v>2</v>
      </c>
      <c r="H4" s="8">
        <v>127.5</v>
      </c>
      <c r="J4" s="8" t="s">
        <v>2</v>
      </c>
      <c r="K4" s="8">
        <v>14</v>
      </c>
    </row>
    <row r="5" spans="1:11" x14ac:dyDescent="0.25">
      <c r="B5" s="5" t="s">
        <v>27</v>
      </c>
      <c r="C5" s="10">
        <v>130</v>
      </c>
      <c r="D5" s="10">
        <v>15</v>
      </c>
      <c r="E5" s="10">
        <v>17</v>
      </c>
      <c r="G5" s="8" t="s">
        <v>3</v>
      </c>
      <c r="H5" s="8">
        <v>121</v>
      </c>
      <c r="J5" s="8" t="s">
        <v>3</v>
      </c>
      <c r="K5" s="8">
        <v>9</v>
      </c>
    </row>
    <row r="6" spans="1:11" x14ac:dyDescent="0.25">
      <c r="B6" s="5" t="s">
        <v>28</v>
      </c>
      <c r="C6" s="10">
        <v>128</v>
      </c>
      <c r="D6" s="10">
        <v>13</v>
      </c>
      <c r="E6" s="10">
        <v>20</v>
      </c>
      <c r="G6" s="8" t="s">
        <v>4</v>
      </c>
      <c r="H6" s="8">
        <v>4.337119558025357</v>
      </c>
      <c r="J6" s="8" t="s">
        <v>4</v>
      </c>
      <c r="K6" s="8">
        <v>3.0251471289038387</v>
      </c>
    </row>
    <row r="7" spans="1:11" x14ac:dyDescent="0.25">
      <c r="B7" s="5" t="s">
        <v>29</v>
      </c>
      <c r="C7" s="10">
        <v>121</v>
      </c>
      <c r="D7" s="10">
        <v>9</v>
      </c>
      <c r="E7" s="10">
        <v>20</v>
      </c>
      <c r="G7" s="8" t="s">
        <v>5</v>
      </c>
      <c r="H7" s="8">
        <v>18.810606060606066</v>
      </c>
      <c r="J7" s="8" t="s">
        <v>5</v>
      </c>
      <c r="K7" s="8">
        <v>9.1515151515151381</v>
      </c>
    </row>
    <row r="8" spans="1:11" x14ac:dyDescent="0.25">
      <c r="B8" s="5" t="s">
        <v>30</v>
      </c>
      <c r="C8" s="10">
        <v>131</v>
      </c>
      <c r="D8" s="10">
        <v>16</v>
      </c>
      <c r="E8" s="10">
        <v>20</v>
      </c>
      <c r="G8" s="8" t="s">
        <v>6</v>
      </c>
      <c r="H8" s="8">
        <v>-1.0098457996048511</v>
      </c>
      <c r="J8" s="8" t="s">
        <v>6</v>
      </c>
      <c r="K8" s="8">
        <v>-0.89457918512346035</v>
      </c>
    </row>
    <row r="9" spans="1:11" x14ac:dyDescent="0.25">
      <c r="B9" s="5" t="s">
        <v>31</v>
      </c>
      <c r="C9" s="10">
        <v>127</v>
      </c>
      <c r="D9" s="10">
        <v>14</v>
      </c>
      <c r="E9" s="10">
        <v>20</v>
      </c>
      <c r="G9" s="8" t="s">
        <v>7</v>
      </c>
      <c r="H9" s="8">
        <v>-0.46969710512991869</v>
      </c>
      <c r="J9" s="8" t="s">
        <v>7</v>
      </c>
      <c r="K9" s="8">
        <v>-0.4211934597350166</v>
      </c>
    </row>
    <row r="10" spans="1:11" x14ac:dyDescent="0.25">
      <c r="B10" s="5" t="s">
        <v>32</v>
      </c>
      <c r="C10" s="10">
        <v>125</v>
      </c>
      <c r="D10" s="10">
        <v>14</v>
      </c>
      <c r="E10" s="10">
        <v>18</v>
      </c>
      <c r="G10" s="8" t="s">
        <v>8</v>
      </c>
      <c r="H10" s="8">
        <v>13</v>
      </c>
      <c r="J10" s="8" t="s">
        <v>8</v>
      </c>
      <c r="K10" s="8">
        <v>9</v>
      </c>
    </row>
    <row r="11" spans="1:11" x14ac:dyDescent="0.25">
      <c r="B11" s="5" t="s">
        <v>33</v>
      </c>
      <c r="C11" s="10">
        <v>133</v>
      </c>
      <c r="D11" s="10">
        <v>18</v>
      </c>
      <c r="E11" s="10">
        <v>21</v>
      </c>
      <c r="G11" s="8" t="s">
        <v>9</v>
      </c>
      <c r="H11" s="8">
        <v>120</v>
      </c>
      <c r="J11" s="8" t="s">
        <v>9</v>
      </c>
      <c r="K11" s="8">
        <v>9</v>
      </c>
    </row>
    <row r="12" spans="1:11" x14ac:dyDescent="0.25">
      <c r="B12" s="5" t="s">
        <v>34</v>
      </c>
      <c r="C12" s="10">
        <v>129</v>
      </c>
      <c r="D12" s="10">
        <v>17</v>
      </c>
      <c r="E12" s="10">
        <v>21</v>
      </c>
      <c r="G12" s="8" t="s">
        <v>10</v>
      </c>
      <c r="H12" s="8">
        <v>133</v>
      </c>
      <c r="J12" s="8" t="s">
        <v>10</v>
      </c>
      <c r="K12" s="8">
        <v>18</v>
      </c>
    </row>
    <row r="13" spans="1:11" x14ac:dyDescent="0.25">
      <c r="B13" s="5" t="s">
        <v>35</v>
      </c>
      <c r="C13" s="10">
        <v>131</v>
      </c>
      <c r="D13" s="10">
        <v>16</v>
      </c>
      <c r="E13" s="10">
        <v>19</v>
      </c>
      <c r="G13" s="8" t="s">
        <v>11</v>
      </c>
      <c r="H13" s="8">
        <v>1523</v>
      </c>
      <c r="J13" s="8" t="s">
        <v>11</v>
      </c>
      <c r="K13" s="8">
        <v>164</v>
      </c>
    </row>
    <row r="14" spans="1:11" x14ac:dyDescent="0.25">
      <c r="A14" t="s">
        <v>37</v>
      </c>
      <c r="B14" s="5" t="s">
        <v>24</v>
      </c>
      <c r="C14" s="11">
        <v>140</v>
      </c>
      <c r="D14" s="11">
        <v>20</v>
      </c>
      <c r="E14" s="6"/>
      <c r="G14" s="8" t="s">
        <v>12</v>
      </c>
      <c r="H14" s="8">
        <v>12</v>
      </c>
      <c r="J14" s="8" t="s">
        <v>12</v>
      </c>
      <c r="K14" s="8">
        <v>12</v>
      </c>
    </row>
    <row r="15" spans="1:11" x14ac:dyDescent="0.25">
      <c r="B15" s="7" t="s">
        <v>36</v>
      </c>
      <c r="C15" s="4">
        <f>CORREL(C2:C13,D2:D13)</f>
        <v>0.94693903847059069</v>
      </c>
      <c r="G15" s="8" t="s">
        <v>13</v>
      </c>
      <c r="H15" s="8">
        <v>2.7556742974981727</v>
      </c>
      <c r="J15" s="8" t="s">
        <v>13</v>
      </c>
      <c r="K15" s="8">
        <v>1.9220867854208139</v>
      </c>
    </row>
    <row r="16" spans="1:11" x14ac:dyDescent="0.25">
      <c r="B16" s="16" t="s">
        <v>42</v>
      </c>
      <c r="C16" s="16"/>
    </row>
    <row r="17" spans="2:4" x14ac:dyDescent="0.25">
      <c r="B17" s="4">
        <f>(0.947*0.947)*100</f>
        <v>89.68089999999998</v>
      </c>
      <c r="C17" s="13"/>
    </row>
    <row r="18" spans="2:4" ht="15.75" thickBot="1" x14ac:dyDescent="0.3"/>
    <row r="19" spans="2:4" x14ac:dyDescent="0.25">
      <c r="B19" s="3"/>
      <c r="C19" s="3" t="s">
        <v>20</v>
      </c>
      <c r="D19" s="3" t="s">
        <v>21</v>
      </c>
    </row>
    <row r="20" spans="2:4" x14ac:dyDescent="0.25">
      <c r="B20" s="1" t="s">
        <v>20</v>
      </c>
      <c r="C20" s="1">
        <v>1</v>
      </c>
      <c r="D20" s="1"/>
    </row>
    <row r="21" spans="2:4" ht="15.75" thickBot="1" x14ac:dyDescent="0.3">
      <c r="B21" s="2" t="s">
        <v>21</v>
      </c>
      <c r="C21" s="2">
        <v>0.95090618043603325</v>
      </c>
      <c r="D21" s="2">
        <v>1</v>
      </c>
    </row>
  </sheetData>
  <mergeCells count="3">
    <mergeCell ref="G1:H1"/>
    <mergeCell ref="J1:K1"/>
    <mergeCell ref="B16:C16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workbookViewId="0">
      <selection activeCell="C19" sqref="C19"/>
    </sheetView>
  </sheetViews>
  <sheetFormatPr defaultRowHeight="15" x14ac:dyDescent="0.25"/>
  <cols>
    <col min="3" max="3" width="11.7109375" bestFit="1" customWidth="1"/>
    <col min="4" max="4" width="11.140625" bestFit="1" customWidth="1"/>
    <col min="5" max="5" width="11.42578125" bestFit="1" customWidth="1"/>
  </cols>
  <sheetData>
    <row r="1" spans="2:5" x14ac:dyDescent="0.25">
      <c r="B1" s="5" t="s">
        <v>23</v>
      </c>
      <c r="C1" s="10" t="s">
        <v>20</v>
      </c>
      <c r="D1" s="10" t="s">
        <v>21</v>
      </c>
      <c r="E1" s="10" t="s">
        <v>22</v>
      </c>
    </row>
    <row r="2" spans="2:5" x14ac:dyDescent="0.25">
      <c r="B2" s="5" t="s">
        <v>24</v>
      </c>
      <c r="C2" s="10">
        <v>120</v>
      </c>
      <c r="D2" s="10">
        <v>9</v>
      </c>
      <c r="E2" s="10">
        <v>17</v>
      </c>
    </row>
    <row r="3" spans="2:5" x14ac:dyDescent="0.25">
      <c r="B3" s="5" t="s">
        <v>25</v>
      </c>
      <c r="C3" s="10">
        <v>121</v>
      </c>
      <c r="D3" s="10">
        <v>10</v>
      </c>
      <c r="E3" s="10">
        <v>17</v>
      </c>
    </row>
    <row r="4" spans="2:5" x14ac:dyDescent="0.25">
      <c r="B4" s="5" t="s">
        <v>26</v>
      </c>
      <c r="C4" s="10">
        <v>127</v>
      </c>
      <c r="D4" s="10">
        <v>13</v>
      </c>
      <c r="E4" s="10">
        <v>17</v>
      </c>
    </row>
    <row r="5" spans="2:5" x14ac:dyDescent="0.25">
      <c r="B5" s="5" t="s">
        <v>27</v>
      </c>
      <c r="C5" s="10">
        <v>130</v>
      </c>
      <c r="D5" s="10">
        <v>15</v>
      </c>
      <c r="E5" s="10">
        <v>17</v>
      </c>
    </row>
    <row r="6" spans="2:5" x14ac:dyDescent="0.25">
      <c r="B6" s="5" t="s">
        <v>28</v>
      </c>
      <c r="C6" s="10">
        <v>128</v>
      </c>
      <c r="D6" s="10">
        <v>13</v>
      </c>
      <c r="E6" s="10">
        <v>20</v>
      </c>
    </row>
    <row r="7" spans="2:5" x14ac:dyDescent="0.25">
      <c r="B7" s="5" t="s">
        <v>29</v>
      </c>
      <c r="C7" s="10">
        <v>121</v>
      </c>
      <c r="D7" s="10">
        <v>9</v>
      </c>
      <c r="E7" s="10">
        <v>20</v>
      </c>
    </row>
    <row r="8" spans="2:5" x14ac:dyDescent="0.25">
      <c r="B8" s="5" t="s">
        <v>30</v>
      </c>
      <c r="C8" s="10">
        <v>131</v>
      </c>
      <c r="D8" s="10">
        <v>16</v>
      </c>
      <c r="E8" s="10">
        <v>20</v>
      </c>
    </row>
    <row r="9" spans="2:5" x14ac:dyDescent="0.25">
      <c r="B9" s="5" t="s">
        <v>31</v>
      </c>
      <c r="C9" s="10">
        <v>127</v>
      </c>
      <c r="D9" s="10">
        <v>14</v>
      </c>
      <c r="E9" s="10">
        <v>20</v>
      </c>
    </row>
    <row r="10" spans="2:5" x14ac:dyDescent="0.25">
      <c r="B10" s="5" t="s">
        <v>32</v>
      </c>
      <c r="C10" s="10">
        <v>125</v>
      </c>
      <c r="D10" s="10">
        <v>14</v>
      </c>
      <c r="E10" s="10">
        <v>18</v>
      </c>
    </row>
    <row r="11" spans="2:5" x14ac:dyDescent="0.25">
      <c r="B11" s="5" t="s">
        <v>33</v>
      </c>
      <c r="C11" s="10">
        <v>133</v>
      </c>
      <c r="D11" s="10">
        <v>18</v>
      </c>
      <c r="E11" s="10">
        <v>21</v>
      </c>
    </row>
    <row r="12" spans="2:5" x14ac:dyDescent="0.25">
      <c r="B12" s="5" t="s">
        <v>34</v>
      </c>
      <c r="C12" s="10">
        <v>129</v>
      </c>
      <c r="D12" s="10">
        <v>17</v>
      </c>
      <c r="E12" s="10">
        <v>21</v>
      </c>
    </row>
    <row r="13" spans="2:5" x14ac:dyDescent="0.25">
      <c r="B13" s="5" t="s">
        <v>35</v>
      </c>
      <c r="C13" s="10">
        <v>131</v>
      </c>
      <c r="D13" s="10">
        <v>16</v>
      </c>
      <c r="E13" s="10">
        <v>19</v>
      </c>
    </row>
    <row r="18" spans="3:3" x14ac:dyDescent="0.25">
      <c r="C18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"/>
  <sheetViews>
    <sheetView topLeftCell="B1" workbookViewId="0">
      <selection activeCell="F5" sqref="F5"/>
    </sheetView>
  </sheetViews>
  <sheetFormatPr defaultRowHeight="15" x14ac:dyDescent="0.25"/>
  <sheetData>
    <row r="1" spans="2:6" x14ac:dyDescent="0.25">
      <c r="B1" s="4"/>
      <c r="C1" s="4"/>
      <c r="D1" s="4" t="s">
        <v>40</v>
      </c>
      <c r="E1" s="4" t="s">
        <v>40</v>
      </c>
      <c r="F1" s="4" t="s">
        <v>40</v>
      </c>
    </row>
    <row r="2" spans="2:6" x14ac:dyDescent="0.25">
      <c r="B2" s="12"/>
      <c r="C2" s="4" t="s">
        <v>41</v>
      </c>
      <c r="D2" s="4">
        <v>500</v>
      </c>
      <c r="E2" s="4">
        <v>10000</v>
      </c>
      <c r="F2" s="4">
        <v>250000</v>
      </c>
    </row>
    <row r="3" spans="2:6" x14ac:dyDescent="0.25">
      <c r="B3" s="4" t="s">
        <v>39</v>
      </c>
      <c r="C3" s="4">
        <v>5</v>
      </c>
      <c r="D3" s="4">
        <f>((1/($C3/100)^2)*D$2)/((1/($C3/100)^2)+D$2)</f>
        <v>222.2222222222222</v>
      </c>
      <c r="E3" s="4">
        <f>((1/($C3/100)^2)*E$2)/((1/($C3/100)^2)+E$2)</f>
        <v>384.61538461538458</v>
      </c>
      <c r="F3" s="4">
        <f>((1/($C3/100)^2)*F$2)/((1/($C3/100)^2)+F$2)</f>
        <v>399.36102236421721</v>
      </c>
    </row>
    <row r="4" spans="2:6" x14ac:dyDescent="0.25">
      <c r="B4" s="4" t="s">
        <v>39</v>
      </c>
      <c r="C4" s="4">
        <v>2.5</v>
      </c>
      <c r="D4" s="4">
        <f>((1/($C4/100)^2)*D$2)/((1/($C4/100)^2)+D$2)</f>
        <v>380.95238095238091</v>
      </c>
      <c r="E4" s="4">
        <f t="shared" ref="D4:F5" si="0">((1/($C4/100)^2)*E$2)/((1/($C4/100)^2)+E$2)</f>
        <v>1379.3103448275861</v>
      </c>
      <c r="F4" s="4">
        <f t="shared" si="0"/>
        <v>1589.8251192368837</v>
      </c>
    </row>
    <row r="5" spans="2:6" x14ac:dyDescent="0.25">
      <c r="B5" s="4" t="s">
        <v>39</v>
      </c>
      <c r="C5" s="4">
        <v>10</v>
      </c>
      <c r="D5" s="4">
        <f t="shared" si="0"/>
        <v>83.333333333333314</v>
      </c>
      <c r="E5" s="4">
        <f t="shared" si="0"/>
        <v>99.009900990098998</v>
      </c>
      <c r="F5" s="4">
        <f t="shared" si="0"/>
        <v>99.960015993602539</v>
      </c>
    </row>
    <row r="6" spans="2:6" x14ac:dyDescent="0.25">
      <c r="B6" s="4"/>
      <c r="C6" s="4"/>
      <c r="D6" s="4"/>
      <c r="E6" s="4"/>
      <c r="F6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Planilha1</vt:lpstr>
      <vt:lpstr>Dispersão</vt:lpstr>
      <vt:lpstr>Planilha5</vt:lpstr>
      <vt:lpstr>Amostragem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visitante</dc:creator>
  <cp:lastModifiedBy>José Diniz</cp:lastModifiedBy>
  <dcterms:created xsi:type="dcterms:W3CDTF">2018-03-17T11:22:10Z</dcterms:created>
  <dcterms:modified xsi:type="dcterms:W3CDTF">2018-03-21T03:59:13Z</dcterms:modified>
</cp:coreProperties>
</file>