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C:\Users\José Diniz\OneDrive\Ciência de Dados\"/>
    </mc:Choice>
  </mc:AlternateContent>
  <xr:revisionPtr revIDLastSave="0" documentId="12_ncr:500000_{502E57F5-617F-4534-8913-57823CDB3BB6}" xr6:coauthVersionLast="31" xr6:coauthVersionMax="31" xr10:uidLastSave="{00000000-0000-0000-0000-000000000000}"/>
  <bookViews>
    <workbookView xWindow="0" yWindow="0" windowWidth="19200" windowHeight="11370" firstSheet="1" activeTab="4" xr2:uid="{00000000-000D-0000-FFFF-FFFF00000000}"/>
  </bookViews>
  <sheets>
    <sheet name="Amostra" sheetId="1" r:id="rId1"/>
    <sheet name="Teste t para uma amostra" sheetId="2" r:id="rId2"/>
    <sheet name="Teste t para duas amostras" sheetId="3" r:id="rId3"/>
    <sheet name="Sheet1" sheetId="5" r:id="rId4"/>
    <sheet name="Teste Qui quadrado" sheetId="4" r:id="rId5"/>
    <sheet name="Sheet2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4" l="1"/>
  <c r="D4" i="4"/>
  <c r="D5" i="4"/>
  <c r="D6" i="4"/>
  <c r="D7" i="4"/>
  <c r="D3" i="4"/>
  <c r="D2" i="4"/>
  <c r="C8" i="4" l="1"/>
  <c r="I3" i="2" l="1"/>
  <c r="M3" i="2"/>
  <c r="F3" i="4" l="1"/>
  <c r="F4" i="4"/>
  <c r="F5" i="4"/>
  <c r="F6" i="4"/>
  <c r="F2" i="4"/>
  <c r="E3" i="4"/>
  <c r="E4" i="4"/>
  <c r="E5" i="4"/>
  <c r="E6" i="4"/>
  <c r="E2" i="4"/>
  <c r="H4" i="3"/>
  <c r="J4" i="3"/>
  <c r="F4" i="3"/>
  <c r="F2" i="3"/>
  <c r="F3" i="3"/>
  <c r="G4" i="2"/>
  <c r="G3" i="2"/>
  <c r="G2" i="2"/>
  <c r="C1" i="1"/>
  <c r="F7" i="4" l="1"/>
  <c r="E7" i="4"/>
</calcChain>
</file>

<file path=xl/sharedStrings.xml><?xml version="1.0" encoding="utf-8"?>
<sst xmlns="http://schemas.openxmlformats.org/spreadsheetml/2006/main" count="87" uniqueCount="53">
  <si>
    <t>n</t>
  </si>
  <si>
    <t>z</t>
  </si>
  <si>
    <t>dp</t>
  </si>
  <si>
    <t>e</t>
  </si>
  <si>
    <t>?</t>
  </si>
  <si>
    <t>IC</t>
  </si>
  <si>
    <t>tc</t>
  </si>
  <si>
    <t>x(média)</t>
  </si>
  <si>
    <t>dp(desvio)</t>
  </si>
  <si>
    <t>n(dados)</t>
  </si>
  <si>
    <t>x'(pontodesestudo)</t>
  </si>
  <si>
    <t>erro</t>
  </si>
  <si>
    <t>teste t</t>
  </si>
  <si>
    <t>intervalo de confiança</t>
  </si>
  <si>
    <t>z(confiança 95%)</t>
  </si>
  <si>
    <t>x1</t>
  </si>
  <si>
    <t>x2</t>
  </si>
  <si>
    <t>v1</t>
  </si>
  <si>
    <t>v2</t>
  </si>
  <si>
    <t>n1</t>
  </si>
  <si>
    <t>n2</t>
  </si>
  <si>
    <t>número de amostra</t>
  </si>
  <si>
    <t>variância</t>
  </si>
  <si>
    <t>período</t>
  </si>
  <si>
    <t>GL</t>
  </si>
  <si>
    <t>período/valor médio</t>
  </si>
  <si>
    <t>estimativa das médias</t>
  </si>
  <si>
    <t>&lt;</t>
  </si>
  <si>
    <t>confiança 95%</t>
  </si>
  <si>
    <t>exercícios produção e páscoa</t>
  </si>
  <si>
    <t>exercício  tamanho da peça</t>
  </si>
  <si>
    <t>exercício empresa</t>
  </si>
  <si>
    <t>O</t>
  </si>
  <si>
    <t>E</t>
  </si>
  <si>
    <t>O-E^2</t>
  </si>
  <si>
    <t>XC = O-E^2/E</t>
  </si>
  <si>
    <t>Questões Financeiras</t>
  </si>
  <si>
    <t>123 alunos</t>
  </si>
  <si>
    <t>Pais não incentivam</t>
  </si>
  <si>
    <t>177 alunos</t>
  </si>
  <si>
    <t>Desmotivação pelo ensino</t>
  </si>
  <si>
    <t>211 alunos</t>
  </si>
  <si>
    <t>Notas  mais baixas</t>
  </si>
  <si>
    <t>102 alunos</t>
  </si>
  <si>
    <t>Necessidade de Trabalhar</t>
  </si>
  <si>
    <t>193 alunos</t>
  </si>
  <si>
    <t>Ambiente escolar</t>
  </si>
  <si>
    <t>92 alunos</t>
  </si>
  <si>
    <t>898 Alunos</t>
  </si>
  <si>
    <t>TOTAL</t>
  </si>
  <si>
    <t>%</t>
  </si>
  <si>
    <t>Notas Mais Baixas</t>
  </si>
  <si>
    <t>Ambiente Escolar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</si>
</sst>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0" borderId="0" xfId="0" applyFont="1"/>
    <xf numFmtId="0" fontId="0" fillId="0" borderId="1" xfId="0" applyFont="1" applyBorder="1"/>
    <xf numFmtId="0" fontId="0" fillId="0" borderId="1" xfId="0" applyFill="1" applyBorder="1"/>
    <xf numFmtId="0" fontId="0" fillId="0" borderId="4" xfId="0" applyBorder="1"/>
    <xf numFmtId="0" fontId="0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1" xfId="0" applyNumberFormat="1" applyBorder="1"/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2" borderId="1" xfId="0" applyFill="1" applyBorder="1"/>
    <xf numFmtId="2" fontId="0" fillId="0" borderId="1" xfId="0" applyNumberFormat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7</xdr:row>
      <xdr:rowOff>171450</xdr:rowOff>
    </xdr:from>
    <xdr:to>
      <xdr:col>3</xdr:col>
      <xdr:colOff>638175</xdr:colOff>
      <xdr:row>7</xdr:row>
      <xdr:rowOff>352425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F89F7F-73D1-4FDD-B298-FD119CA69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9475" y="2105025"/>
          <a:ext cx="53340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190500</xdr:colOff>
      <xdr:row>7</xdr:row>
      <xdr:rowOff>38100</xdr:rowOff>
    </xdr:from>
    <xdr:to>
      <xdr:col>4</xdr:col>
      <xdr:colOff>619125</xdr:colOff>
      <xdr:row>7</xdr:row>
      <xdr:rowOff>658075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847B95-A573-439D-9E9A-64D6AA27C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5" y="1971675"/>
          <a:ext cx="428625" cy="619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C2" sqref="C2"/>
    </sheetView>
  </sheetViews>
  <sheetFormatPr defaultRowHeight="15" x14ac:dyDescent="0.25"/>
  <sheetData>
    <row r="1" spans="1:6" x14ac:dyDescent="0.25">
      <c r="A1" s="2" t="s">
        <v>0</v>
      </c>
      <c r="B1" s="2" t="s">
        <v>4</v>
      </c>
      <c r="C1" s="2">
        <f>((C2*B3)/B4)^2</f>
        <v>9.7738504155124684</v>
      </c>
      <c r="D1" s="1"/>
      <c r="E1" s="3">
        <v>0.95</v>
      </c>
      <c r="F1" s="2">
        <v>1.96</v>
      </c>
    </row>
    <row r="2" spans="1:6" x14ac:dyDescent="0.25">
      <c r="A2" s="2" t="s">
        <v>1</v>
      </c>
      <c r="B2" s="3">
        <v>0.95</v>
      </c>
      <c r="C2" s="2">
        <v>2</v>
      </c>
      <c r="D2" s="1"/>
      <c r="E2" s="7">
        <v>0.95499999999999996</v>
      </c>
      <c r="F2" s="6">
        <v>2</v>
      </c>
    </row>
    <row r="3" spans="1:6" x14ac:dyDescent="0.25">
      <c r="A3" s="2" t="s">
        <v>2</v>
      </c>
      <c r="B3" s="13">
        <v>2.97</v>
      </c>
      <c r="C3" s="14"/>
      <c r="D3" s="1"/>
      <c r="E3" s="3">
        <v>0.99</v>
      </c>
      <c r="F3" s="2">
        <v>2.58</v>
      </c>
    </row>
    <row r="4" spans="1:6" x14ac:dyDescent="0.25">
      <c r="A4" s="2" t="s">
        <v>3</v>
      </c>
      <c r="B4" s="13">
        <v>1.9</v>
      </c>
      <c r="C4" s="14"/>
      <c r="D4" s="1"/>
      <c r="E4" s="7">
        <v>0.99739999999999995</v>
      </c>
      <c r="F4" s="2">
        <v>3</v>
      </c>
    </row>
    <row r="6" spans="1:6" x14ac:dyDescent="0.25">
      <c r="A6" s="5" t="s">
        <v>31</v>
      </c>
    </row>
  </sheetData>
  <mergeCells count="2">
    <mergeCell ref="B3:C3"/>
    <mergeCell ref="B4:C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8"/>
  <sheetViews>
    <sheetView workbookViewId="0">
      <selection activeCell="H8" sqref="H8"/>
    </sheetView>
  </sheetViews>
  <sheetFormatPr defaultRowHeight="15" x14ac:dyDescent="0.25"/>
  <cols>
    <col min="1" max="1" width="18.7109375" bestFit="1" customWidth="1"/>
    <col min="5" max="5" width="20.85546875" bestFit="1" customWidth="1"/>
    <col min="10" max="10" width="2.28515625" customWidth="1"/>
    <col min="12" max="12" width="2" customWidth="1"/>
  </cols>
  <sheetData>
    <row r="2" spans="1:13" x14ac:dyDescent="0.25">
      <c r="A2" s="4" t="s">
        <v>7</v>
      </c>
      <c r="B2" s="4">
        <v>18124.240000000002</v>
      </c>
      <c r="E2" s="4" t="s">
        <v>13</v>
      </c>
      <c r="F2" s="4" t="s">
        <v>5</v>
      </c>
      <c r="G2" s="4">
        <f>B2+((B3*B4)/SQRT(B5))</f>
        <v>20854.552477430414</v>
      </c>
    </row>
    <row r="3" spans="1:13" x14ac:dyDescent="0.25">
      <c r="A3" s="4" t="s">
        <v>14</v>
      </c>
      <c r="B3" s="4">
        <v>3</v>
      </c>
      <c r="E3" s="4" t="s">
        <v>11</v>
      </c>
      <c r="F3" s="4" t="s">
        <v>3</v>
      </c>
      <c r="G3" s="15">
        <f>(B3*B4)/(SQRT(B5))</f>
        <v>2730.3124774304119</v>
      </c>
      <c r="I3" s="4">
        <f>B2-G3</f>
        <v>15393.927522569589</v>
      </c>
      <c r="J3" s="4" t="s">
        <v>27</v>
      </c>
      <c r="K3" s="4">
        <v>18124.240000000002</v>
      </c>
      <c r="L3" s="4" t="s">
        <v>27</v>
      </c>
      <c r="M3" s="4">
        <f>B2+G3</f>
        <v>20854.552477430414</v>
      </c>
    </row>
    <row r="4" spans="1:13" x14ac:dyDescent="0.25">
      <c r="A4" s="4" t="s">
        <v>8</v>
      </c>
      <c r="B4" s="4">
        <v>5827.51</v>
      </c>
      <c r="E4" s="4" t="s">
        <v>12</v>
      </c>
      <c r="F4" s="4" t="s">
        <v>6</v>
      </c>
      <c r="G4" s="4" t="e">
        <f>(B6-B2)/(B4/SQRT(B5))</f>
        <v>#VALUE!</v>
      </c>
    </row>
    <row r="5" spans="1:13" x14ac:dyDescent="0.25">
      <c r="A5" s="9" t="s">
        <v>9</v>
      </c>
      <c r="B5" s="4">
        <v>41</v>
      </c>
    </row>
    <row r="6" spans="1:13" x14ac:dyDescent="0.25">
      <c r="A6" s="4" t="s">
        <v>10</v>
      </c>
      <c r="B6" s="4" t="s">
        <v>0</v>
      </c>
    </row>
    <row r="7" spans="1:13" x14ac:dyDescent="0.25">
      <c r="G7" s="8"/>
    </row>
    <row r="8" spans="1:13" x14ac:dyDescent="0.25">
      <c r="A8" t="s">
        <v>30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11"/>
  <sheetViews>
    <sheetView workbookViewId="0">
      <selection activeCell="A17" sqref="A17"/>
    </sheetView>
  </sheetViews>
  <sheetFormatPr defaultRowHeight="15" x14ac:dyDescent="0.25"/>
  <cols>
    <col min="1" max="1" width="19.5703125" bestFit="1" customWidth="1"/>
    <col min="5" max="5" width="20.85546875" bestFit="1" customWidth="1"/>
    <col min="7" max="7" width="1.85546875" customWidth="1"/>
    <col min="9" max="9" width="2.140625" customWidth="1"/>
  </cols>
  <sheetData>
    <row r="2" spans="1:12" x14ac:dyDescent="0.25">
      <c r="A2" s="4" t="s">
        <v>23</v>
      </c>
      <c r="B2" s="4" t="s">
        <v>15</v>
      </c>
      <c r="C2" s="4">
        <v>154.30000000000001</v>
      </c>
      <c r="E2" s="4" t="s">
        <v>6</v>
      </c>
      <c r="F2" s="4">
        <f>(C2-C5)/(SQRT((C3/C4)+(C6/C7)))</f>
        <v>-5.5361731635509459</v>
      </c>
    </row>
    <row r="3" spans="1:12" x14ac:dyDescent="0.25">
      <c r="A3" s="4" t="s">
        <v>22</v>
      </c>
      <c r="B3" s="4" t="s">
        <v>17</v>
      </c>
      <c r="C3" s="4">
        <v>535.69000000000005</v>
      </c>
      <c r="E3" s="11" t="s">
        <v>24</v>
      </c>
      <c r="F3" s="11">
        <f>C4+C7-2</f>
        <v>100</v>
      </c>
    </row>
    <row r="4" spans="1:12" x14ac:dyDescent="0.25">
      <c r="A4" s="4" t="s">
        <v>21</v>
      </c>
      <c r="B4" s="4" t="s">
        <v>19</v>
      </c>
      <c r="C4" s="4">
        <v>61</v>
      </c>
      <c r="E4" s="4" t="s">
        <v>26</v>
      </c>
      <c r="F4" s="2">
        <f>(C5-C2)-(C8*(SQRT((C3/C4)+(C6/C7))))</f>
        <v>18.649004679162552</v>
      </c>
      <c r="G4" s="2" t="s">
        <v>27</v>
      </c>
      <c r="H4" s="2">
        <f>C5-C2</f>
        <v>28.869999999999976</v>
      </c>
      <c r="I4" s="2" t="s">
        <v>27</v>
      </c>
      <c r="J4" s="2">
        <f>(C5-C2)+(C8*(SQRT((C3/C4)+(C6/C7))))</f>
        <v>39.090995320837401</v>
      </c>
    </row>
    <row r="5" spans="1:12" x14ac:dyDescent="0.25">
      <c r="A5" s="4" t="s">
        <v>25</v>
      </c>
      <c r="B5" s="4" t="s">
        <v>16</v>
      </c>
      <c r="C5" s="4">
        <v>183.17</v>
      </c>
    </row>
    <row r="6" spans="1:12" x14ac:dyDescent="0.25">
      <c r="A6" s="4" t="s">
        <v>22</v>
      </c>
      <c r="B6" s="4" t="s">
        <v>18</v>
      </c>
      <c r="C6" s="4">
        <v>754.90300000000002</v>
      </c>
    </row>
    <row r="7" spans="1:12" x14ac:dyDescent="0.25">
      <c r="A7" s="4" t="s">
        <v>21</v>
      </c>
      <c r="B7" s="4" t="s">
        <v>20</v>
      </c>
      <c r="C7" s="4">
        <v>41</v>
      </c>
    </row>
    <row r="8" spans="1:12" x14ac:dyDescent="0.25">
      <c r="A8" s="4" t="s">
        <v>28</v>
      </c>
      <c r="B8" s="10" t="s">
        <v>1</v>
      </c>
      <c r="C8" s="10">
        <v>1.96</v>
      </c>
    </row>
    <row r="10" spans="1:12" x14ac:dyDescent="0.25">
      <c r="A10" t="s">
        <v>29</v>
      </c>
    </row>
    <row r="11" spans="1:12" x14ac:dyDescent="0.25">
      <c r="K11" s="12"/>
      <c r="L11" s="8"/>
    </row>
  </sheetData>
  <pageMargins left="0.511811024" right="0.511811024" top="0.78740157499999996" bottom="0.78740157499999996" header="0.31496062000000002" footer="0.31496062000000002"/>
  <pageSetup paperSize="9"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34BD-426D-43C7-BB3A-8EEC14EEF3E8}">
  <dimension ref="B5:E11"/>
  <sheetViews>
    <sheetView workbookViewId="0">
      <selection activeCell="E11" sqref="E11"/>
    </sheetView>
  </sheetViews>
  <sheetFormatPr defaultRowHeight="15" x14ac:dyDescent="0.25"/>
  <cols>
    <col min="2" max="2" width="23.5703125" customWidth="1"/>
    <col min="4" max="4" width="11.42578125" customWidth="1"/>
    <col min="5" max="5" width="12.140625" customWidth="1"/>
  </cols>
  <sheetData>
    <row r="5" spans="2:5" ht="31.5" customHeight="1" x14ac:dyDescent="0.25">
      <c r="B5" s="23" t="s">
        <v>36</v>
      </c>
      <c r="C5" s="17">
        <v>0.12</v>
      </c>
      <c r="D5" s="16" t="s">
        <v>36</v>
      </c>
      <c r="E5" s="23" t="s">
        <v>37</v>
      </c>
    </row>
    <row r="6" spans="2:5" ht="30" x14ac:dyDescent="0.25">
      <c r="B6" s="23" t="s">
        <v>38</v>
      </c>
      <c r="C6" s="17">
        <v>0.19</v>
      </c>
      <c r="D6" s="16" t="s">
        <v>38</v>
      </c>
      <c r="E6" s="23" t="s">
        <v>39</v>
      </c>
    </row>
    <row r="7" spans="2:5" ht="45" x14ac:dyDescent="0.25">
      <c r="B7" s="23" t="s">
        <v>40</v>
      </c>
      <c r="C7" s="17">
        <v>0.32</v>
      </c>
      <c r="D7" s="16" t="s">
        <v>40</v>
      </c>
      <c r="E7" s="23" t="s">
        <v>41</v>
      </c>
    </row>
    <row r="8" spans="2:5" ht="30" x14ac:dyDescent="0.25">
      <c r="B8" s="23" t="s">
        <v>42</v>
      </c>
      <c r="C8" s="17">
        <v>0.09</v>
      </c>
      <c r="D8" s="16" t="s">
        <v>42</v>
      </c>
      <c r="E8" s="23" t="s">
        <v>43</v>
      </c>
    </row>
    <row r="9" spans="2:5" ht="45" x14ac:dyDescent="0.25">
      <c r="B9" s="23" t="s">
        <v>44</v>
      </c>
      <c r="C9" s="17">
        <v>0.2</v>
      </c>
      <c r="D9" s="16" t="s">
        <v>44</v>
      </c>
      <c r="E9" s="23" t="s">
        <v>45</v>
      </c>
    </row>
    <row r="10" spans="2:5" ht="30" x14ac:dyDescent="0.25">
      <c r="B10" s="23" t="s">
        <v>46</v>
      </c>
      <c r="C10" s="17">
        <v>0.08</v>
      </c>
      <c r="D10" s="16" t="s">
        <v>46</v>
      </c>
      <c r="E10" s="23" t="s">
        <v>47</v>
      </c>
    </row>
    <row r="11" spans="2:5" x14ac:dyDescent="0.25">
      <c r="B11" s="22" t="s">
        <v>49</v>
      </c>
      <c r="C11" s="20">
        <v>1</v>
      </c>
      <c r="D11" s="21"/>
      <c r="E11" s="21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tabSelected="1" workbookViewId="0">
      <selection activeCell="J29" sqref="J29"/>
    </sheetView>
  </sheetViews>
  <sheetFormatPr defaultRowHeight="15" x14ac:dyDescent="0.25"/>
  <cols>
    <col min="1" max="1" width="24.7109375" bestFit="1" customWidth="1"/>
    <col min="6" max="6" width="12.140625" bestFit="1" customWidth="1"/>
  </cols>
  <sheetData>
    <row r="1" spans="1:6" x14ac:dyDescent="0.25">
      <c r="A1" s="18"/>
      <c r="B1" s="24" t="s">
        <v>50</v>
      </c>
      <c r="C1" s="24" t="s">
        <v>32</v>
      </c>
      <c r="D1" s="24" t="s">
        <v>33</v>
      </c>
      <c r="E1" s="24" t="s">
        <v>34</v>
      </c>
      <c r="F1" s="24" t="s">
        <v>35</v>
      </c>
    </row>
    <row r="2" spans="1:6" x14ac:dyDescent="0.25">
      <c r="A2" s="28" t="s">
        <v>36</v>
      </c>
      <c r="B2" s="2">
        <v>12</v>
      </c>
      <c r="C2" s="2">
        <v>123</v>
      </c>
      <c r="D2" s="2">
        <f>(B2*$C$8)/100</f>
        <v>107.76</v>
      </c>
      <c r="E2" s="19">
        <f>(C2-D2)^2</f>
        <v>232.25759999999985</v>
      </c>
      <c r="F2" s="19">
        <f>((C2-D2)^2)/D2</f>
        <v>2.1553229398663682</v>
      </c>
    </row>
    <row r="3" spans="1:6" x14ac:dyDescent="0.25">
      <c r="A3" s="28" t="s">
        <v>38</v>
      </c>
      <c r="B3" s="2">
        <v>19</v>
      </c>
      <c r="C3" s="2">
        <v>177</v>
      </c>
      <c r="D3" s="2">
        <f>(B3*$C$8)/100</f>
        <v>170.62</v>
      </c>
      <c r="E3" s="19">
        <f t="shared" ref="E3:E6" si="0">(C3-D3)^2</f>
        <v>40.704399999999943</v>
      </c>
      <c r="F3" s="19">
        <f t="shared" ref="F3:F6" si="1">((C3-D3)^2)/D3</f>
        <v>0.23856757707185525</v>
      </c>
    </row>
    <row r="4" spans="1:6" x14ac:dyDescent="0.25">
      <c r="A4" s="28" t="s">
        <v>40</v>
      </c>
      <c r="B4" s="2">
        <v>32</v>
      </c>
      <c r="C4" s="2">
        <v>211</v>
      </c>
      <c r="D4" s="2">
        <f t="shared" ref="D4:D8" si="2">(B4*$C$8)/100</f>
        <v>287.36</v>
      </c>
      <c r="E4" s="19">
        <f t="shared" si="0"/>
        <v>5830.8496000000023</v>
      </c>
      <c r="F4" s="19">
        <f t="shared" si="1"/>
        <v>20.291096881959916</v>
      </c>
    </row>
    <row r="5" spans="1:6" x14ac:dyDescent="0.25">
      <c r="A5" s="28" t="s">
        <v>51</v>
      </c>
      <c r="B5" s="2">
        <v>9</v>
      </c>
      <c r="C5" s="2">
        <v>102</v>
      </c>
      <c r="D5" s="2">
        <f t="shared" si="2"/>
        <v>80.819999999999993</v>
      </c>
      <c r="E5" s="19">
        <f t="shared" si="0"/>
        <v>448.59240000000028</v>
      </c>
      <c r="F5" s="19">
        <f t="shared" si="1"/>
        <v>5.5505122494432113</v>
      </c>
    </row>
    <row r="6" spans="1:6" x14ac:dyDescent="0.25">
      <c r="A6" s="28" t="s">
        <v>44</v>
      </c>
      <c r="B6" s="2">
        <v>20</v>
      </c>
      <c r="C6" s="2">
        <v>193</v>
      </c>
      <c r="D6" s="2">
        <f t="shared" si="2"/>
        <v>179.6</v>
      </c>
      <c r="E6" s="19">
        <f t="shared" si="0"/>
        <v>179.56000000000014</v>
      </c>
      <c r="F6" s="19">
        <f t="shared" si="1"/>
        <v>0.99977728285078038</v>
      </c>
    </row>
    <row r="7" spans="1:6" x14ac:dyDescent="0.25">
      <c r="A7" s="29" t="s">
        <v>52</v>
      </c>
      <c r="B7" s="30">
        <v>8</v>
      </c>
      <c r="C7" s="30">
        <v>92</v>
      </c>
      <c r="D7" s="30">
        <f t="shared" si="2"/>
        <v>71.84</v>
      </c>
      <c r="E7" s="31">
        <f>SUM(E2:E6)</f>
        <v>6731.9640000000027</v>
      </c>
      <c r="F7" s="31">
        <f>SUM(F2:F6)</f>
        <v>29.235276931192132</v>
      </c>
    </row>
    <row r="8" spans="1:6" x14ac:dyDescent="0.25">
      <c r="A8" s="28" t="s">
        <v>49</v>
      </c>
      <c r="B8" s="3">
        <v>1</v>
      </c>
      <c r="C8" s="2">
        <f>SUM(C2:C7)</f>
        <v>898</v>
      </c>
      <c r="D8" s="6"/>
      <c r="E8" s="4"/>
      <c r="F8" s="19">
        <f>SUM(F2:F7)</f>
        <v>58.470553862384264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E12F7-F8C7-49EB-BE47-EA2BFCC9A780}">
  <dimension ref="A1:F14"/>
  <sheetViews>
    <sheetView workbookViewId="0">
      <selection activeCell="A8" sqref="A8:A14"/>
    </sheetView>
  </sheetViews>
  <sheetFormatPr defaultColWidth="24.140625" defaultRowHeight="21.75" customHeight="1" x14ac:dyDescent="0.25"/>
  <cols>
    <col min="1" max="1" width="25" customWidth="1"/>
    <col min="2" max="2" width="12.7109375" customWidth="1"/>
    <col min="3" max="3" width="12.85546875" customWidth="1"/>
    <col min="4" max="4" width="11.5703125" customWidth="1"/>
    <col min="5" max="5" width="11.85546875" customWidth="1"/>
    <col min="6" max="6" width="11.140625" customWidth="1"/>
  </cols>
  <sheetData>
    <row r="1" spans="1:6" ht="21.75" customHeight="1" x14ac:dyDescent="0.25">
      <c r="B1" s="23" t="s">
        <v>36</v>
      </c>
      <c r="C1" s="25">
        <v>123</v>
      </c>
      <c r="D1" s="25">
        <v>107.76</v>
      </c>
      <c r="E1" s="25">
        <v>232.26</v>
      </c>
      <c r="F1" s="25">
        <v>2.16</v>
      </c>
    </row>
    <row r="2" spans="1:6" ht="21.75" customHeight="1" x14ac:dyDescent="0.25">
      <c r="B2" s="23" t="s">
        <v>38</v>
      </c>
      <c r="C2" s="25">
        <v>177</v>
      </c>
      <c r="D2" s="25">
        <v>170.62</v>
      </c>
      <c r="E2" s="25">
        <v>40.700000000000003</v>
      </c>
      <c r="F2" s="25">
        <v>0.24</v>
      </c>
    </row>
    <row r="3" spans="1:6" ht="21.75" customHeight="1" x14ac:dyDescent="0.25">
      <c r="B3" s="23" t="s">
        <v>40</v>
      </c>
      <c r="C3" s="25">
        <v>211</v>
      </c>
      <c r="D3" s="25">
        <v>287.36</v>
      </c>
      <c r="E3" s="25">
        <v>5830.85</v>
      </c>
      <c r="F3" s="25">
        <v>20.29</v>
      </c>
    </row>
    <row r="4" spans="1:6" ht="21.75" customHeight="1" x14ac:dyDescent="0.25">
      <c r="B4" s="23" t="s">
        <v>42</v>
      </c>
      <c r="C4" s="25">
        <v>102</v>
      </c>
      <c r="D4" s="25">
        <v>80.819999999999993</v>
      </c>
      <c r="E4" s="25">
        <v>448.59</v>
      </c>
      <c r="F4" s="25">
        <v>5.55</v>
      </c>
    </row>
    <row r="5" spans="1:6" ht="21.75" customHeight="1" x14ac:dyDescent="0.25">
      <c r="B5" s="23" t="s">
        <v>44</v>
      </c>
      <c r="C5" s="25">
        <v>193</v>
      </c>
      <c r="D5" s="25">
        <v>179.6</v>
      </c>
      <c r="E5" s="25">
        <v>179.56</v>
      </c>
      <c r="F5" s="25">
        <v>1</v>
      </c>
    </row>
    <row r="6" spans="1:6" ht="21.75" customHeight="1" x14ac:dyDescent="0.25">
      <c r="B6" s="23" t="s">
        <v>46</v>
      </c>
      <c r="C6" s="25">
        <v>92</v>
      </c>
      <c r="D6" s="25">
        <v>71.84</v>
      </c>
      <c r="E6" s="25">
        <v>6731.96</v>
      </c>
      <c r="F6" s="25">
        <v>29.24</v>
      </c>
    </row>
    <row r="8" spans="1:6" ht="42.75" customHeight="1" x14ac:dyDescent="0.25">
      <c r="A8" s="21"/>
      <c r="B8" s="26" t="s">
        <v>32</v>
      </c>
      <c r="C8" s="26" t="s">
        <v>33</v>
      </c>
      <c r="D8" s="27"/>
      <c r="E8" s="26"/>
    </row>
    <row r="9" spans="1:6" ht="21.75" customHeight="1" x14ac:dyDescent="0.25">
      <c r="A9" s="23" t="s">
        <v>36</v>
      </c>
      <c r="B9" s="25">
        <v>123</v>
      </c>
      <c r="C9" s="25">
        <v>107.76</v>
      </c>
      <c r="D9" s="25">
        <v>232.2576</v>
      </c>
      <c r="E9" s="25">
        <v>2.16</v>
      </c>
    </row>
    <row r="10" spans="1:6" ht="21.75" customHeight="1" x14ac:dyDescent="0.25">
      <c r="A10" s="23" t="s">
        <v>38</v>
      </c>
      <c r="B10" s="25">
        <v>177</v>
      </c>
      <c r="C10" s="25">
        <v>170.62</v>
      </c>
      <c r="D10" s="25">
        <v>40.7044</v>
      </c>
      <c r="E10" s="25">
        <v>0.24</v>
      </c>
    </row>
    <row r="11" spans="1:6" ht="21.75" customHeight="1" x14ac:dyDescent="0.25">
      <c r="A11" s="23" t="s">
        <v>40</v>
      </c>
      <c r="B11" s="25">
        <v>211</v>
      </c>
      <c r="C11" s="25">
        <v>287.36</v>
      </c>
      <c r="D11" s="25">
        <v>5830.85</v>
      </c>
      <c r="E11" s="25">
        <v>20.29</v>
      </c>
    </row>
    <row r="12" spans="1:6" ht="21.75" customHeight="1" x14ac:dyDescent="0.25">
      <c r="A12" s="23" t="s">
        <v>42</v>
      </c>
      <c r="B12" s="25">
        <v>102</v>
      </c>
      <c r="C12" s="25">
        <v>80.819999999999993</v>
      </c>
      <c r="D12" s="25">
        <v>448.5924</v>
      </c>
      <c r="E12" s="25">
        <v>5.55</v>
      </c>
    </row>
    <row r="13" spans="1:6" ht="21.75" customHeight="1" x14ac:dyDescent="0.25">
      <c r="A13" s="23" t="s">
        <v>44</v>
      </c>
      <c r="B13" s="25">
        <v>193</v>
      </c>
      <c r="C13" s="25">
        <v>179.6</v>
      </c>
      <c r="D13" s="25">
        <v>179.56</v>
      </c>
      <c r="E13" s="25">
        <v>1</v>
      </c>
    </row>
    <row r="14" spans="1:6" ht="21.75" customHeight="1" x14ac:dyDescent="0.25">
      <c r="A14" s="23" t="s">
        <v>46</v>
      </c>
      <c r="B14" s="25">
        <v>92</v>
      </c>
      <c r="C14" s="25">
        <v>71.84</v>
      </c>
      <c r="D14" s="25">
        <v>6731.9639999999999</v>
      </c>
      <c r="E14" s="25">
        <v>29.24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Amostra</vt:lpstr>
      <vt:lpstr>Teste t para uma amostra</vt:lpstr>
      <vt:lpstr>Teste t para duas amostras</vt:lpstr>
      <vt:lpstr>Sheet1</vt:lpstr>
      <vt:lpstr>Teste Qui quadrado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DINIZ JUNIOR</dc:creator>
  <cp:lastModifiedBy>José Diniz</cp:lastModifiedBy>
  <dcterms:created xsi:type="dcterms:W3CDTF">2018-03-24T13:37:47Z</dcterms:created>
  <dcterms:modified xsi:type="dcterms:W3CDTF">2018-04-04T04:01:14Z</dcterms:modified>
</cp:coreProperties>
</file>