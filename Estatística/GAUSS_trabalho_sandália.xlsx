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os\Ciência de Dados\"/>
    </mc:Choice>
  </mc:AlternateContent>
  <bookViews>
    <workbookView xWindow="0" yWindow="0" windowWidth="19200" windowHeight="119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E5" i="1"/>
  <c r="E6" i="1" s="1"/>
  <c r="E7" i="1" l="1"/>
  <c r="F6" i="1"/>
  <c r="F5" i="1"/>
  <c r="E8" i="1" l="1"/>
  <c r="F7" i="1"/>
  <c r="E9" i="1" l="1"/>
  <c r="F8" i="1"/>
  <c r="E10" i="1" l="1"/>
  <c r="F9" i="1"/>
  <c r="E11" i="1" l="1"/>
  <c r="F10" i="1"/>
  <c r="E12" i="1" l="1"/>
  <c r="F11" i="1"/>
  <c r="E13" i="1" l="1"/>
  <c r="F12" i="1"/>
  <c r="E14" i="1" l="1"/>
  <c r="F13" i="1"/>
  <c r="E15" i="1" l="1"/>
  <c r="F14" i="1"/>
  <c r="E16" i="1" l="1"/>
  <c r="F15" i="1"/>
  <c r="E17" i="1" l="1"/>
  <c r="F16" i="1"/>
  <c r="F17" i="1" l="1"/>
  <c r="E18" i="1"/>
  <c r="F18" i="1" l="1"/>
  <c r="E19" i="1"/>
  <c r="E20" i="1" l="1"/>
  <c r="F19" i="1"/>
  <c r="E21" i="1" l="1"/>
  <c r="F20" i="1"/>
  <c r="E22" i="1" l="1"/>
  <c r="F21" i="1"/>
  <c r="E23" i="1" l="1"/>
  <c r="F22" i="1"/>
  <c r="E24" i="1" l="1"/>
  <c r="F23" i="1"/>
  <c r="E25" i="1" l="1"/>
  <c r="F24" i="1"/>
  <c r="E26" i="1" l="1"/>
  <c r="F25" i="1"/>
  <c r="E27" i="1" l="1"/>
  <c r="F26" i="1"/>
  <c r="E28" i="1" l="1"/>
  <c r="F27" i="1"/>
  <c r="E29" i="1" l="1"/>
  <c r="F28" i="1"/>
  <c r="E30" i="1" l="1"/>
  <c r="F29" i="1"/>
  <c r="E31" i="1" l="1"/>
  <c r="F30" i="1"/>
  <c r="E32" i="1" l="1"/>
  <c r="F31" i="1"/>
  <c r="E33" i="1" l="1"/>
  <c r="F32" i="1"/>
  <c r="E34" i="1" l="1"/>
  <c r="F33" i="1"/>
  <c r="E35" i="1" l="1"/>
  <c r="F34" i="1"/>
  <c r="E36" i="1" l="1"/>
  <c r="F35" i="1"/>
  <c r="E37" i="1" l="1"/>
  <c r="F36" i="1"/>
  <c r="E38" i="1" l="1"/>
  <c r="F37" i="1"/>
  <c r="E39" i="1" l="1"/>
  <c r="F38" i="1"/>
  <c r="E40" i="1" l="1"/>
  <c r="F39" i="1"/>
  <c r="E41" i="1" l="1"/>
  <c r="F40" i="1"/>
  <c r="E42" i="1" l="1"/>
  <c r="F41" i="1"/>
  <c r="E43" i="1" l="1"/>
  <c r="F42" i="1"/>
  <c r="E44" i="1" l="1"/>
  <c r="F43" i="1"/>
  <c r="E45" i="1" l="1"/>
  <c r="F44" i="1"/>
  <c r="E46" i="1" l="1"/>
  <c r="F45" i="1"/>
  <c r="E47" i="1" l="1"/>
  <c r="F46" i="1"/>
  <c r="E48" i="1" l="1"/>
  <c r="F47" i="1"/>
  <c r="E49" i="1" l="1"/>
  <c r="F48" i="1"/>
  <c r="E50" i="1" l="1"/>
  <c r="F49" i="1"/>
  <c r="E51" i="1" l="1"/>
  <c r="F50" i="1"/>
  <c r="E52" i="1" l="1"/>
  <c r="F51" i="1"/>
  <c r="E53" i="1" l="1"/>
  <c r="F52" i="1"/>
  <c r="E54" i="1" l="1"/>
  <c r="F53" i="1"/>
  <c r="E55" i="1" l="1"/>
  <c r="F54" i="1"/>
  <c r="E56" i="1" l="1"/>
  <c r="F55" i="1"/>
  <c r="E57" i="1" l="1"/>
  <c r="F56" i="1"/>
  <c r="E58" i="1" l="1"/>
  <c r="F57" i="1"/>
  <c r="E59" i="1" l="1"/>
  <c r="F58" i="1"/>
  <c r="E60" i="1" l="1"/>
  <c r="F59" i="1"/>
  <c r="E61" i="1" l="1"/>
  <c r="F60" i="1"/>
  <c r="E62" i="1" l="1"/>
  <c r="F61" i="1"/>
  <c r="E63" i="1" l="1"/>
  <c r="F62" i="1"/>
  <c r="E64" i="1" l="1"/>
  <c r="F63" i="1"/>
  <c r="E65" i="1" l="1"/>
  <c r="F64" i="1"/>
  <c r="E66" i="1" l="1"/>
  <c r="F66" i="1" s="1"/>
  <c r="F65" i="1"/>
</calcChain>
</file>

<file path=xl/sharedStrings.xml><?xml version="1.0" encoding="utf-8"?>
<sst xmlns="http://schemas.openxmlformats.org/spreadsheetml/2006/main" count="14" uniqueCount="14">
  <si>
    <t>MÉDIA</t>
  </si>
  <si>
    <t>DESVIO</t>
  </si>
  <si>
    <t>INCREMENTOS DE DESVIO PADRÃO</t>
  </si>
  <si>
    <t>(M-DP)*3</t>
  </si>
  <si>
    <t>DADOS</t>
  </si>
  <si>
    <t>E5+DP/10</t>
  </si>
  <si>
    <t>NORMALIZE</t>
  </si>
  <si>
    <t>E5;M;DP;FALSE</t>
  </si>
  <si>
    <r>
      <t>1</t>
    </r>
    <r>
      <rPr>
        <sz val="11"/>
        <color theme="1"/>
        <rFont val="Calibri"/>
        <family val="2"/>
      </rPr>
      <t>σ 37,53</t>
    </r>
  </si>
  <si>
    <t>2σ 40,26</t>
  </si>
  <si>
    <t>3σ 42,99</t>
  </si>
  <si>
    <t>1-σ 32,07</t>
  </si>
  <si>
    <t>2-σ 29,34</t>
  </si>
  <si>
    <t>3-σ 26,61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</si>
</sst>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800"/>
              <a:t>Curva de Gauss</a:t>
            </a:r>
          </a:p>
        </c:rich>
      </c:tx>
      <c:layout>
        <c:manualLayout>
          <c:xMode val="edge"/>
          <c:yMode val="edge"/>
          <c:x val="0.37117541979278318"/>
          <c:y val="1.532567049808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3978811330255746E-2"/>
          <c:y val="0.1427715075109838"/>
          <c:w val="0.93378467562937273"/>
          <c:h val="0.8067958738985964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297963558413726E-2"/>
                  <c:y val="-6.623903855632457E-2"/>
                </c:manualLayout>
              </c:layout>
              <c:tx>
                <c:rich>
                  <a:bodyPr/>
                  <a:lstStyle/>
                  <a:p>
                    <a:fld id="{7C784766-A779-4A3A-ABFE-487FF58CAE42}" type="CELLREF">
                      <a:rPr lang="el-GR" sz="1200" baseline="0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{7C784766-A779-4A3A-ABFE-487FF58CAE42}</c15:txfldGUID>
                      <c15:f>Sheet1!$M$47</c15:f>
                      <c15:dlblFieldTableCache>
                        <c:ptCount val="1"/>
                        <c:pt idx="0">
                          <c:v>3-σ 26,61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00AF-4690-B120-86837CFCAFCA}"/>
                </c:ext>
              </c:extLst>
            </c:dLbl>
            <c:dLbl>
              <c:idx val="2"/>
              <c:layout>
                <c:manualLayout>
                  <c:x val="1.429081814933905E-2"/>
                  <c:y val="-8.4893865956164036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27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0AF-4690-B120-86837CFCAFCA}"/>
                </c:ext>
              </c:extLst>
            </c:dLbl>
            <c:dLbl>
              <c:idx val="9"/>
              <c:layout>
                <c:manualLayout>
                  <c:x val="-6.8595927116827465E-2"/>
                  <c:y val="-0.14981270462852445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29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0AF-4690-B120-86837CFCAFCA}"/>
                </c:ext>
              </c:extLst>
            </c:dLbl>
            <c:dLbl>
              <c:idx val="10"/>
              <c:layout>
                <c:manualLayout>
                  <c:x val="-2.8581636298678124E-2"/>
                  <c:y val="-0.10659095292479806"/>
                </c:manualLayout>
              </c:layout>
              <c:tx>
                <c:rich>
                  <a:bodyPr/>
                  <a:lstStyle/>
                  <a:p>
                    <a:fld id="{51DA7913-5889-4FDE-9495-B2A6FD01BD10}" type="CELLREF">
                      <a:rPr lang="el-GR" sz="1200" baseline="0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{51DA7913-5889-4FDE-9495-B2A6FD01BD10}</c15:txfldGUID>
                      <c15:f>Sheet1!$M$46</c15:f>
                      <c15:dlblFieldTableCache>
                        <c:ptCount val="1"/>
                        <c:pt idx="0">
                          <c:v>2-σ 29,34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0AF-4690-B120-86837CFCAFCA}"/>
                </c:ext>
              </c:extLst>
            </c:dLbl>
            <c:dLbl>
              <c:idx val="20"/>
              <c:layout>
                <c:manualLayout>
                  <c:x val="-5.1446945337620578E-2"/>
                  <c:y val="-0.10486889323996712"/>
                </c:manualLayout>
              </c:layout>
              <c:tx>
                <c:rich>
                  <a:bodyPr/>
                  <a:lstStyle/>
                  <a:p>
                    <a:fld id="{87FD63B1-A34D-48BE-9FBD-E8E877CD1F2B}" type="CELLREF">
                      <a:rPr lang="el-GR" sz="1200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{87FD63B1-A34D-48BE-9FBD-E8E877CD1F2B}</c15:txfldGUID>
                      <c15:f>Sheet1!$M$45</c15:f>
                      <c15:dlblFieldTableCache>
                        <c:ptCount val="1"/>
                        <c:pt idx="0">
                          <c:v>1-σ 32,07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00AF-4690-B120-86837CFCAFCA}"/>
                </c:ext>
              </c:extLst>
            </c:dLbl>
            <c:dLbl>
              <c:idx val="30"/>
              <c:layout>
                <c:manualLayout>
                  <c:x val="-0.10289389067524121"/>
                  <c:y val="-4.5977011494252873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Média</a:t>
                    </a:r>
                    <a:r>
                      <a:rPr lang="en-US" sz="1200" baseline="0"/>
                      <a:t> </a:t>
                    </a:r>
                  </a:p>
                  <a:p>
                    <a:fld id="{F6F21B8D-FC5F-403E-90D8-B8A992C270F7}" type="XVALUE">
                      <a:rPr lang="en-US" sz="1200"/>
                      <a:pPr/>
                      <a:t>[X VALUE]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00AF-4690-B120-86837CFCAFCA}"/>
                </c:ext>
              </c:extLst>
            </c:dLbl>
            <c:dLbl>
              <c:idx val="31"/>
              <c:layout>
                <c:manualLayout>
                  <c:x val="4.2872454448017148E-3"/>
                  <c:y val="-2.4968784104754078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35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0AF-4690-B120-86837CFCAFCA}"/>
                </c:ext>
              </c:extLst>
            </c:dLbl>
            <c:dLbl>
              <c:idx val="40"/>
              <c:layout>
                <c:manualLayout>
                  <c:x val="1.5719899964272956E-2"/>
                  <c:y val="-2.4968784104754168E-2"/>
                </c:manualLayout>
              </c:layout>
              <c:tx>
                <c:rich>
                  <a:bodyPr/>
                  <a:lstStyle/>
                  <a:p>
                    <a:fld id="{473B3F05-1CEB-48A2-A627-025B0F1F0884}" type="CELLREF">
                      <a:rPr lang="el-GR" sz="1200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{473B3F05-1CEB-48A2-A627-025B0F1F0884}</c15:txfldGUID>
                      <c15:f>Sheet1!$L$45</c15:f>
                      <c15:dlblFieldTableCache>
                        <c:ptCount val="1"/>
                        <c:pt idx="0">
                          <c:v>1σ 37,53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00AF-4690-B120-86837CFCAFCA}"/>
                </c:ext>
              </c:extLst>
            </c:dLbl>
            <c:dLbl>
              <c:idx val="49"/>
              <c:layout>
                <c:manualLayout>
                  <c:x val="0"/>
                  <c:y val="-9.7378258008540983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39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0AF-4690-B120-86837CFCAFCA}"/>
                </c:ext>
              </c:extLst>
            </c:dLbl>
            <c:dLbl>
              <c:idx val="50"/>
              <c:layout>
                <c:manualLayout>
                  <c:x val="1.2861736334405145E-2"/>
                  <c:y val="-2.554278416347382E-3"/>
                </c:manualLayout>
              </c:layout>
              <c:tx>
                <c:rich>
                  <a:bodyPr/>
                  <a:lstStyle/>
                  <a:p>
                    <a:fld id="{9FA7AB46-9A91-4749-A1EE-3AC3CDB3E460}" type="CELLREF">
                      <a:rPr lang="el-GR" sz="1200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{9FA7AB46-9A91-4749-A1EE-3AC3CDB3E460}</c15:txfldGUID>
                      <c15:f>Sheet1!$L$46</c15:f>
                      <c15:dlblFieldTableCache>
                        <c:ptCount val="1"/>
                        <c:pt idx="0">
                          <c:v>2σ 40,26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0AF-4690-B120-86837CFCAFCA}"/>
                </c:ext>
              </c:extLst>
            </c:dLbl>
            <c:dLbl>
              <c:idx val="57"/>
              <c:layout>
                <c:manualLayout>
                  <c:x val="-1.7148981779206963E-2"/>
                  <c:y val="-0.11985016370281956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42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0AF-4690-B120-86837CFCAFCA}"/>
                </c:ext>
              </c:extLst>
            </c:dLbl>
            <c:dLbl>
              <c:idx val="60"/>
              <c:layout>
                <c:manualLayout>
                  <c:x val="-8.5744908896034297E-3"/>
                  <c:y val="-5.3639846743295208E-2"/>
                </c:manualLayout>
              </c:layout>
              <c:tx>
                <c:rich>
                  <a:bodyPr/>
                  <a:lstStyle/>
                  <a:p>
                    <a:fld id="{7E7EC3A5-4ECD-4EAA-A363-062485A37734}" type="CELLREF">
                      <a:rPr lang="el-GR" sz="1200"/>
                      <a:pPr/>
                      <a:t>[CELLREF]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{7E7EC3A5-4ECD-4EAA-A363-062485A37734}</c15:txfldGUID>
                      <c15:f>Sheet1!$L$47</c15:f>
                      <c15:dlblFieldTableCache>
                        <c:ptCount val="1"/>
                        <c:pt idx="0">
                          <c:v>3σ 42,99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0AF-4690-B120-86837CFCAFCA}"/>
                </c:ext>
              </c:extLst>
            </c:dLbl>
            <c:dLbl>
              <c:idx val="61"/>
              <c:layout>
                <c:manualLayout>
                  <c:x val="-2.715261074680788E-2"/>
                  <c:y val="-5.747116380567371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/>
                      <a:t>365,38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298621836257598E-2"/>
                      <c:h val="4.25287356321839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0AF-4690-B120-86837CFCAF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Sheet1!$E$5:$E$66</c:f>
              <c:numCache>
                <c:formatCode>General</c:formatCode>
                <c:ptCount val="62"/>
                <c:pt idx="0">
                  <c:v>26.61</c:v>
                </c:pt>
                <c:pt idx="1">
                  <c:v>26.882999999999999</c:v>
                </c:pt>
                <c:pt idx="2">
                  <c:v>27.155999999999999</c:v>
                </c:pt>
                <c:pt idx="3">
                  <c:v>27.428999999999998</c:v>
                </c:pt>
                <c:pt idx="4">
                  <c:v>27.701999999999998</c:v>
                </c:pt>
                <c:pt idx="5">
                  <c:v>27.974999999999998</c:v>
                </c:pt>
                <c:pt idx="6">
                  <c:v>28.247999999999998</c:v>
                </c:pt>
                <c:pt idx="7">
                  <c:v>28.520999999999997</c:v>
                </c:pt>
                <c:pt idx="8">
                  <c:v>28.793999999999997</c:v>
                </c:pt>
                <c:pt idx="9">
                  <c:v>29.066999999999997</c:v>
                </c:pt>
                <c:pt idx="10">
                  <c:v>29.339999999999996</c:v>
                </c:pt>
                <c:pt idx="11">
                  <c:v>29.612999999999996</c:v>
                </c:pt>
                <c:pt idx="12">
                  <c:v>29.885999999999996</c:v>
                </c:pt>
                <c:pt idx="13">
                  <c:v>30.158999999999995</c:v>
                </c:pt>
                <c:pt idx="14">
                  <c:v>30.431999999999995</c:v>
                </c:pt>
                <c:pt idx="15">
                  <c:v>30.704999999999995</c:v>
                </c:pt>
                <c:pt idx="16">
                  <c:v>30.977999999999994</c:v>
                </c:pt>
                <c:pt idx="17">
                  <c:v>31.250999999999994</c:v>
                </c:pt>
                <c:pt idx="18">
                  <c:v>31.523999999999994</c:v>
                </c:pt>
                <c:pt idx="19">
                  <c:v>31.796999999999993</c:v>
                </c:pt>
                <c:pt idx="20">
                  <c:v>32.069999999999993</c:v>
                </c:pt>
                <c:pt idx="21">
                  <c:v>32.342999999999996</c:v>
                </c:pt>
                <c:pt idx="22">
                  <c:v>32.616</c:v>
                </c:pt>
                <c:pt idx="23">
                  <c:v>32.889000000000003</c:v>
                </c:pt>
                <c:pt idx="24">
                  <c:v>33.162000000000006</c:v>
                </c:pt>
                <c:pt idx="25">
                  <c:v>33.435000000000009</c:v>
                </c:pt>
                <c:pt idx="26">
                  <c:v>33.708000000000013</c:v>
                </c:pt>
                <c:pt idx="27">
                  <c:v>33.981000000000016</c:v>
                </c:pt>
                <c:pt idx="28">
                  <c:v>34.254000000000019</c:v>
                </c:pt>
                <c:pt idx="29">
                  <c:v>34.527000000000022</c:v>
                </c:pt>
                <c:pt idx="30">
                  <c:v>34.800000000000026</c:v>
                </c:pt>
                <c:pt idx="31">
                  <c:v>35.073000000000029</c:v>
                </c:pt>
                <c:pt idx="32">
                  <c:v>35.346000000000032</c:v>
                </c:pt>
                <c:pt idx="33">
                  <c:v>35.619000000000035</c:v>
                </c:pt>
                <c:pt idx="34">
                  <c:v>35.892000000000039</c:v>
                </c:pt>
                <c:pt idx="35">
                  <c:v>36.165000000000042</c:v>
                </c:pt>
                <c:pt idx="36">
                  <c:v>36.438000000000045</c:v>
                </c:pt>
                <c:pt idx="37">
                  <c:v>36.711000000000048</c:v>
                </c:pt>
                <c:pt idx="38">
                  <c:v>36.984000000000052</c:v>
                </c:pt>
                <c:pt idx="39">
                  <c:v>37.257000000000055</c:v>
                </c:pt>
                <c:pt idx="40">
                  <c:v>37.530000000000058</c:v>
                </c:pt>
                <c:pt idx="41">
                  <c:v>37.803000000000061</c:v>
                </c:pt>
                <c:pt idx="42">
                  <c:v>38.076000000000064</c:v>
                </c:pt>
                <c:pt idx="43">
                  <c:v>38.349000000000068</c:v>
                </c:pt>
                <c:pt idx="44">
                  <c:v>38.622000000000071</c:v>
                </c:pt>
                <c:pt idx="45">
                  <c:v>38.895000000000074</c:v>
                </c:pt>
                <c:pt idx="46">
                  <c:v>39.168000000000077</c:v>
                </c:pt>
                <c:pt idx="47">
                  <c:v>39.441000000000081</c:v>
                </c:pt>
                <c:pt idx="48">
                  <c:v>39.714000000000084</c:v>
                </c:pt>
                <c:pt idx="49">
                  <c:v>39.987000000000087</c:v>
                </c:pt>
                <c:pt idx="50">
                  <c:v>40.26000000000009</c:v>
                </c:pt>
                <c:pt idx="51">
                  <c:v>40.533000000000094</c:v>
                </c:pt>
                <c:pt idx="52">
                  <c:v>40.806000000000097</c:v>
                </c:pt>
                <c:pt idx="53">
                  <c:v>41.0790000000001</c:v>
                </c:pt>
                <c:pt idx="54">
                  <c:v>41.352000000000103</c:v>
                </c:pt>
                <c:pt idx="55">
                  <c:v>41.625000000000107</c:v>
                </c:pt>
                <c:pt idx="56">
                  <c:v>41.89800000000011</c:v>
                </c:pt>
                <c:pt idx="57">
                  <c:v>42.171000000000113</c:v>
                </c:pt>
                <c:pt idx="58">
                  <c:v>42.444000000000116</c:v>
                </c:pt>
                <c:pt idx="59">
                  <c:v>42.71700000000012</c:v>
                </c:pt>
                <c:pt idx="60">
                  <c:v>42.990000000000123</c:v>
                </c:pt>
                <c:pt idx="61">
                  <c:v>43.263000000000126</c:v>
                </c:pt>
              </c:numCache>
            </c:numRef>
          </c:xVal>
          <c:yVal>
            <c:numRef>
              <c:f>Sheet1!$F$5:$F$66</c:f>
              <c:numCache>
                <c:formatCode>General</c:formatCode>
                <c:ptCount val="62"/>
                <c:pt idx="0">
                  <c:v>1.623387696680593E-3</c:v>
                </c:pt>
                <c:pt idx="1">
                  <c:v>2.1804148057787049E-3</c:v>
                </c:pt>
                <c:pt idx="2">
                  <c:v>2.8994328142783804E-3</c:v>
                </c:pt>
                <c:pt idx="3">
                  <c:v>3.8171922397152395E-3</c:v>
                </c:pt>
                <c:pt idx="4">
                  <c:v>4.975446605745653E-3</c:v>
                </c:pt>
                <c:pt idx="5">
                  <c:v>6.4206228914170521E-3</c:v>
                </c:pt>
                <c:pt idx="6">
                  <c:v>8.2031246501256035E-3</c:v>
                </c:pt>
                <c:pt idx="7">
                  <c:v>1.0376204300952816E-2</c:v>
                </c:pt>
                <c:pt idx="8">
                  <c:v>1.2994356353930923E-2</c:v>
                </c:pt>
                <c:pt idx="9">
                  <c:v>1.6111207318837799E-2</c:v>
                </c:pt>
                <c:pt idx="10">
                  <c:v>1.9776910810691578E-2</c:v>
                </c:pt>
                <c:pt idx="11">
                  <c:v>2.4035096987061008E-2</c:v>
                </c:pt>
                <c:pt idx="12">
                  <c:v>2.8919471905089412E-2</c:v>
                </c:pt>
                <c:pt idx="13">
                  <c:v>3.4450211493365142E-2</c:v>
                </c:pt>
                <c:pt idx="14">
                  <c:v>4.0630342373426893E-2</c:v>
                </c:pt>
                <c:pt idx="15">
                  <c:v>4.7442342734758815E-2</c:v>
                </c:pt>
                <c:pt idx="16">
                  <c:v>5.484522550759878E-2</c:v>
                </c:pt>
                <c:pt idx="17">
                  <c:v>6.277237803948979E-2</c:v>
                </c:pt>
                <c:pt idx="18">
                  <c:v>7.1130423070773871E-2</c:v>
                </c:pt>
                <c:pt idx="19">
                  <c:v>7.9799332246355395E-2</c:v>
                </c:pt>
                <c:pt idx="20">
                  <c:v>8.8633965025327111E-2</c:v>
                </c:pt>
                <c:pt idx="21">
                  <c:v>9.7467124505038388E-2</c:v>
                </c:pt>
                <c:pt idx="22">
                  <c:v>0.1061141218906531</c:v>
                </c:pt>
                <c:pt idx="23">
                  <c:v>0.114378730170975</c:v>
                </c:pt>
                <c:pt idx="24">
                  <c:v>0.12206029409956054</c:v>
                </c:pt>
                <c:pt idx="25">
                  <c:v>0.12896165815542135</c:v>
                </c:pt>
                <c:pt idx="26">
                  <c:v>0.13489748729059495</c:v>
                </c:pt>
                <c:pt idx="27">
                  <c:v>0.13970249650568678</c:v>
                </c:pt>
                <c:pt idx="28">
                  <c:v>0.14323908204229177</c:v>
                </c:pt>
                <c:pt idx="29">
                  <c:v>0.14540386354469309</c:v>
                </c:pt>
                <c:pt idx="30">
                  <c:v>0.14613270344374824</c:v>
                </c:pt>
                <c:pt idx="31">
                  <c:v>0.14540386354469281</c:v>
                </c:pt>
                <c:pt idx="32">
                  <c:v>0.14323908204229116</c:v>
                </c:pt>
                <c:pt idx="33">
                  <c:v>0.13970249650568589</c:v>
                </c:pt>
                <c:pt idx="34">
                  <c:v>0.13489748729059381</c:v>
                </c:pt>
                <c:pt idx="35">
                  <c:v>0.12896165815542002</c:v>
                </c:pt>
                <c:pt idx="36">
                  <c:v>0.12206029409955904</c:v>
                </c:pt>
                <c:pt idx="37">
                  <c:v>0.11437873017097333</c:v>
                </c:pt>
                <c:pt idx="38">
                  <c:v>0.10611412189065134</c:v>
                </c:pt>
                <c:pt idx="39">
                  <c:v>9.7467124505036556E-2</c:v>
                </c:pt>
                <c:pt idx="40">
                  <c:v>8.8633965025325279E-2</c:v>
                </c:pt>
                <c:pt idx="41">
                  <c:v>7.9799332246353466E-2</c:v>
                </c:pt>
                <c:pt idx="42">
                  <c:v>7.1130423070771873E-2</c:v>
                </c:pt>
                <c:pt idx="43">
                  <c:v>6.2772378039487778E-2</c:v>
                </c:pt>
                <c:pt idx="44">
                  <c:v>5.4845225507596775E-2</c:v>
                </c:pt>
                <c:pt idx="45">
                  <c:v>4.7442342734756872E-2</c:v>
                </c:pt>
                <c:pt idx="46">
                  <c:v>4.0630342373425034E-2</c:v>
                </c:pt>
                <c:pt idx="47">
                  <c:v>3.4450211493363386E-2</c:v>
                </c:pt>
                <c:pt idx="48">
                  <c:v>2.8919471905087781E-2</c:v>
                </c:pt>
                <c:pt idx="49">
                  <c:v>2.4035096987059516E-2</c:v>
                </c:pt>
                <c:pt idx="50">
                  <c:v>1.9776910810690242E-2</c:v>
                </c:pt>
                <c:pt idx="51">
                  <c:v>1.6111207318836612E-2</c:v>
                </c:pt>
                <c:pt idx="52">
                  <c:v>1.2994356353929886E-2</c:v>
                </c:pt>
                <c:pt idx="53">
                  <c:v>1.0376204300951911E-2</c:v>
                </c:pt>
                <c:pt idx="54">
                  <c:v>8.2031246501248368E-3</c:v>
                </c:pt>
                <c:pt idx="55">
                  <c:v>6.4206228914164059E-3</c:v>
                </c:pt>
                <c:pt idx="56">
                  <c:v>4.9754466057451117E-3</c:v>
                </c:pt>
                <c:pt idx="57">
                  <c:v>3.8171922397147997E-3</c:v>
                </c:pt>
                <c:pt idx="58">
                  <c:v>2.8994328142780195E-3</c:v>
                </c:pt>
                <c:pt idx="59">
                  <c:v>2.1804148057784183E-3</c:v>
                </c:pt>
                <c:pt idx="60">
                  <c:v>1.6233876966803638E-3</c:v>
                </c:pt>
                <c:pt idx="61">
                  <c:v>1.1966370169228728E-3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AF-4690-B120-86837CFCA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770735"/>
        <c:axId val="939695023"/>
      </c:scatterChart>
      <c:valAx>
        <c:axId val="691770735"/>
        <c:scaling>
          <c:orientation val="minMax"/>
          <c:max val="43"/>
          <c:min val="26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9695023"/>
        <c:crosses val="autoZero"/>
        <c:crossBetween val="midCat"/>
      </c:valAx>
      <c:valAx>
        <c:axId val="93969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1770735"/>
        <c:crosses val="autoZero"/>
        <c:crossBetween val="midCat"/>
      </c:valAx>
      <c:spPr>
        <a:noFill/>
        <a:ln>
          <a:gradFill>
            <a:gsLst>
              <a:gs pos="35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15</xdr:row>
      <xdr:rowOff>38099</xdr:rowOff>
    </xdr:from>
    <xdr:to>
      <xdr:col>17</xdr:col>
      <xdr:colOff>161925</xdr:colOff>
      <xdr:row>41</xdr:row>
      <xdr:rowOff>171450</xdr:rowOff>
    </xdr:to>
    <xdr:graphicFrame macro="">
      <xdr:nvGraphicFramePr>
        <xdr:cNvPr id="2" name="Chart 1" title="HH">
          <a:extLst>
            <a:ext uri="{FF2B5EF4-FFF2-40B4-BE49-F238E27FC236}">
              <a16:creationId xmlns:a16="http://schemas.microsoft.com/office/drawing/2014/main" id="{F7BDF94B-4F0E-44A6-8D80-C32B80B11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161925</xdr:colOff>
      <xdr:row>40</xdr:row>
      <xdr:rowOff>9525</xdr:rowOff>
    </xdr:from>
    <xdr:to>
      <xdr:col>16</xdr:col>
      <xdr:colOff>161925</xdr:colOff>
      <xdr:row>40</xdr:row>
      <xdr:rowOff>114300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06537D6-EBD3-4170-AB4B-09DBB2AB0543}"/>
            </a:ext>
          </a:extLst>
        </xdr:cNvPr>
        <xdr:cNvCxnSpPr/>
      </xdr:nvCxnSpPr>
      <xdr:spPr>
        <a:xfrm>
          <a:off x="10220325" y="7629525"/>
          <a:ext cx="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40</xdr:row>
      <xdr:rowOff>28575</xdr:rowOff>
    </xdr:from>
    <xdr:to>
      <xdr:col>4</xdr:col>
      <xdr:colOff>276225</xdr:colOff>
      <xdr:row>40</xdr:row>
      <xdr:rowOff>104775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292458B-FDC6-44B7-82E3-EB9EEB8F0FE3}"/>
            </a:ext>
          </a:extLst>
        </xdr:cNvPr>
        <xdr:cNvCxnSpPr/>
      </xdr:nvCxnSpPr>
      <xdr:spPr>
        <a:xfrm>
          <a:off x="2895600" y="7648575"/>
          <a:ext cx="9525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20</xdr:row>
      <xdr:rowOff>171450</xdr:rowOff>
    </xdr:from>
    <xdr:to>
      <xdr:col>10</xdr:col>
      <xdr:colOff>276225</xdr:colOff>
      <xdr:row>40</xdr:row>
      <xdr:rowOff>104775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ADD1AD0-EF71-4758-B20A-3023A4936C99}"/>
            </a:ext>
          </a:extLst>
        </xdr:cNvPr>
        <xdr:cNvCxnSpPr/>
      </xdr:nvCxnSpPr>
      <xdr:spPr>
        <a:xfrm>
          <a:off x="6638925" y="3981450"/>
          <a:ext cx="38100" cy="37433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21</xdr:row>
      <xdr:rowOff>0</xdr:rowOff>
    </xdr:from>
    <xdr:to>
      <xdr:col>10</xdr:col>
      <xdr:colOff>390525</xdr:colOff>
      <xdr:row>40</xdr:row>
      <xdr:rowOff>123825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8C49584-5312-405E-9BD5-84E8B72F10EC}"/>
            </a:ext>
          </a:extLst>
        </xdr:cNvPr>
        <xdr:cNvCxnSpPr/>
      </xdr:nvCxnSpPr>
      <xdr:spPr>
        <a:xfrm>
          <a:off x="6753225" y="4000500"/>
          <a:ext cx="38100" cy="37433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0.81886</cdr:x>
      <cdr:y>0.83895</cdr:y>
    </cdr:from>
    <cdr:to>
      <cdr:x>0.81994</cdr:x>
      <cdr:y>0.94944</cdr:y>
    </cdr:to>
    <cdr:cxnSp macro="">
      <cdr:nvCxnSpPr>
        <cdr:cNvPr id="24" name="Straight Connector 23">
          <a:extLst xmlns:a="http://schemas.openxmlformats.org/drawingml/2006/main">
            <a:ext uri="{FF2B5EF4-FFF2-40B4-BE49-F238E27FC236}">
              <a16:creationId xmlns:a16="http://schemas.microsoft.com/office/drawing/2014/main" id="{B20ECFF0-4AEB-4E43-A5D5-617315A4A944}"/>
            </a:ext>
          </a:extLst>
        </cdr:cNvPr>
        <cdr:cNvCxnSpPr/>
      </cdr:nvCxnSpPr>
      <cdr:spPr>
        <a:xfrm xmlns:a="http://schemas.openxmlformats.org/drawingml/2006/main">
          <a:off x="7277100" y="4267201"/>
          <a:ext cx="9525" cy="5619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0.21222</cdr:x>
      <cdr:y>0.86704</cdr:y>
    </cdr:from>
    <cdr:to>
      <cdr:x>0.21329</cdr:x>
      <cdr:y>0.94569</cdr:y>
    </cdr:to>
    <cdr:cxnSp macro="">
      <cdr:nvCxnSpPr>
        <cdr:cNvPr id="28" name="Straight Connector 27">
          <a:extLst xmlns:a="http://schemas.openxmlformats.org/drawingml/2006/main">
            <a:ext uri="{FF2B5EF4-FFF2-40B4-BE49-F238E27FC236}">
              <a16:creationId xmlns:a16="http://schemas.microsoft.com/office/drawing/2014/main" id="{510867C2-061A-47DC-92D6-46FE0F57D64B}"/>
            </a:ext>
          </a:extLst>
        </cdr:cNvPr>
        <cdr:cNvCxnSpPr/>
      </cdr:nvCxnSpPr>
      <cdr:spPr>
        <a:xfrm xmlns:a="http://schemas.openxmlformats.org/drawingml/2006/main">
          <a:off x="1885950" y="4410076"/>
          <a:ext cx="9525" cy="4000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6"/>
  <sheetViews>
    <sheetView tabSelected="1" zoomScaleNormal="100" workbookViewId="0">
      <selection activeCell="J46" sqref="J46"/>
    </sheetView>
  </sheetViews>
  <sheetFormatPr defaultRowHeight="15" x14ac:dyDescent="0.25"/>
  <cols>
    <col min="2" max="2" width="12" bestFit="1" customWidth="1"/>
    <col min="5" max="5" width="8" bestFit="1" customWidth="1"/>
    <col min="6" max="6" width="12" bestFit="1" customWidth="1"/>
  </cols>
  <sheetData>
    <row r="1" spans="1:7" x14ac:dyDescent="0.25">
      <c r="A1" t="s">
        <v>0</v>
      </c>
      <c r="B1">
        <v>34.799999999999997</v>
      </c>
      <c r="G1" t="s">
        <v>3</v>
      </c>
    </row>
    <row r="2" spans="1:7" x14ac:dyDescent="0.25">
      <c r="A2" t="s">
        <v>1</v>
      </c>
      <c r="B2">
        <v>2.73</v>
      </c>
      <c r="G2" t="s">
        <v>5</v>
      </c>
    </row>
    <row r="4" spans="1:7" x14ac:dyDescent="0.25">
      <c r="A4" s="1" t="s">
        <v>2</v>
      </c>
      <c r="B4" s="1"/>
      <c r="C4" s="1"/>
      <c r="E4" t="s">
        <v>4</v>
      </c>
      <c r="F4" t="s">
        <v>6</v>
      </c>
      <c r="G4" t="s">
        <v>7</v>
      </c>
    </row>
    <row r="5" spans="1:7" x14ac:dyDescent="0.25">
      <c r="B5">
        <v>-3</v>
      </c>
      <c r="E5">
        <f>B1-B2*3</f>
        <v>26.61</v>
      </c>
      <c r="F5">
        <f>_xlfn.NORM.DIST(E5,$B$1,$B$2,FALSE)</f>
        <v>1.623387696680593E-3</v>
      </c>
    </row>
    <row r="6" spans="1:7" x14ac:dyDescent="0.25">
      <c r="B6">
        <f>B5+0.1</f>
        <v>-2.9</v>
      </c>
      <c r="E6">
        <f>E5+$B$2/10</f>
        <v>26.882999999999999</v>
      </c>
      <c r="F6">
        <f>_xlfn.NORM.DIST(E6,$B$1,$B$2,FALSE)</f>
        <v>2.1804148057787049E-3</v>
      </c>
    </row>
    <row r="7" spans="1:7" x14ac:dyDescent="0.25">
      <c r="B7">
        <f>B6+0.1</f>
        <v>-2.8</v>
      </c>
      <c r="E7">
        <f t="shared" ref="E7:E66" si="0">E6+$B$2/10</f>
        <v>27.155999999999999</v>
      </c>
      <c r="F7">
        <f>_xlfn.NORM.DIST(E7,$B$1,$B$2,FALSE)</f>
        <v>2.8994328142783804E-3</v>
      </c>
    </row>
    <row r="8" spans="1:7" x14ac:dyDescent="0.25">
      <c r="B8">
        <f>B7+0.1</f>
        <v>-2.6999999999999997</v>
      </c>
      <c r="E8">
        <f t="shared" si="0"/>
        <v>27.428999999999998</v>
      </c>
      <c r="F8">
        <f>_xlfn.NORM.DIST(E8,$B$1,$B$2,FALSE)</f>
        <v>3.8171922397152395E-3</v>
      </c>
    </row>
    <row r="9" spans="1:7" x14ac:dyDescent="0.25">
      <c r="B9">
        <f t="shared" ref="B7:B66" si="1">B8+0.1</f>
        <v>-2.5999999999999996</v>
      </c>
      <c r="E9">
        <f t="shared" si="0"/>
        <v>27.701999999999998</v>
      </c>
      <c r="F9">
        <f>_xlfn.NORM.DIST(E9,$B$1,$B$2,FALSE)</f>
        <v>4.975446605745653E-3</v>
      </c>
    </row>
    <row r="10" spans="1:7" x14ac:dyDescent="0.25">
      <c r="B10">
        <f t="shared" si="1"/>
        <v>-2.4999999999999996</v>
      </c>
      <c r="E10">
        <f t="shared" si="0"/>
        <v>27.974999999999998</v>
      </c>
      <c r="F10">
        <f>_xlfn.NORM.DIST(E10,$B$1,$B$2,FALSE)</f>
        <v>6.4206228914170521E-3</v>
      </c>
    </row>
    <row r="11" spans="1:7" x14ac:dyDescent="0.25">
      <c r="B11">
        <f t="shared" si="1"/>
        <v>-2.3999999999999995</v>
      </c>
      <c r="E11">
        <f t="shared" si="0"/>
        <v>28.247999999999998</v>
      </c>
      <c r="F11">
        <f>_xlfn.NORM.DIST(E11,$B$1,$B$2,FALSE)</f>
        <v>8.2031246501256035E-3</v>
      </c>
    </row>
    <row r="12" spans="1:7" x14ac:dyDescent="0.25">
      <c r="B12">
        <f t="shared" si="1"/>
        <v>-2.2999999999999994</v>
      </c>
      <c r="E12">
        <f t="shared" si="0"/>
        <v>28.520999999999997</v>
      </c>
      <c r="F12">
        <f>_xlfn.NORM.DIST(E12,$B$1,$B$2,FALSE)</f>
        <v>1.0376204300952816E-2</v>
      </c>
    </row>
    <row r="13" spans="1:7" x14ac:dyDescent="0.25">
      <c r="B13">
        <f t="shared" si="1"/>
        <v>-2.1999999999999993</v>
      </c>
      <c r="E13">
        <f t="shared" si="0"/>
        <v>28.793999999999997</v>
      </c>
      <c r="F13">
        <f>_xlfn.NORM.DIST(E13,$B$1,$B$2,FALSE)</f>
        <v>1.2994356353930923E-2</v>
      </c>
    </row>
    <row r="14" spans="1:7" x14ac:dyDescent="0.25">
      <c r="B14">
        <f t="shared" si="1"/>
        <v>-2.0999999999999992</v>
      </c>
      <c r="E14">
        <f t="shared" si="0"/>
        <v>29.066999999999997</v>
      </c>
      <c r="F14">
        <f>_xlfn.NORM.DIST(E14,$B$1,$B$2,FALSE)</f>
        <v>1.6111207318837799E-2</v>
      </c>
    </row>
    <row r="15" spans="1:7" x14ac:dyDescent="0.25">
      <c r="B15">
        <f t="shared" si="1"/>
        <v>-1.9999999999999991</v>
      </c>
      <c r="E15">
        <f t="shared" si="0"/>
        <v>29.339999999999996</v>
      </c>
      <c r="F15">
        <f>_xlfn.NORM.DIST(E15,$B$1,$B$2,FALSE)</f>
        <v>1.9776910810691578E-2</v>
      </c>
    </row>
    <row r="16" spans="1:7" x14ac:dyDescent="0.25">
      <c r="B16">
        <f t="shared" si="1"/>
        <v>-1.899999999999999</v>
      </c>
      <c r="E16">
        <f t="shared" si="0"/>
        <v>29.612999999999996</v>
      </c>
      <c r="F16">
        <f>_xlfn.NORM.DIST(E16,$B$1,$B$2,FALSE)</f>
        <v>2.4035096987061008E-2</v>
      </c>
    </row>
    <row r="17" spans="2:6" x14ac:dyDescent="0.25">
      <c r="B17">
        <f t="shared" si="1"/>
        <v>-1.7999999999999989</v>
      </c>
      <c r="E17">
        <f t="shared" si="0"/>
        <v>29.885999999999996</v>
      </c>
      <c r="F17">
        <f>_xlfn.NORM.DIST(E17,$B$1,$B$2,FALSE)</f>
        <v>2.8919471905089412E-2</v>
      </c>
    </row>
    <row r="18" spans="2:6" x14ac:dyDescent="0.25">
      <c r="B18">
        <f t="shared" si="1"/>
        <v>-1.6999999999999988</v>
      </c>
      <c r="E18">
        <f t="shared" si="0"/>
        <v>30.158999999999995</v>
      </c>
      <c r="F18">
        <f>_xlfn.NORM.DIST(E18,$B$1,$B$2,FALSE)</f>
        <v>3.4450211493365142E-2</v>
      </c>
    </row>
    <row r="19" spans="2:6" x14ac:dyDescent="0.25">
      <c r="B19">
        <f t="shared" si="1"/>
        <v>-1.5999999999999988</v>
      </c>
      <c r="E19">
        <f t="shared" si="0"/>
        <v>30.431999999999995</v>
      </c>
      <c r="F19">
        <f>_xlfn.NORM.DIST(E19,$B$1,$B$2,FALSE)</f>
        <v>4.0630342373426893E-2</v>
      </c>
    </row>
    <row r="20" spans="2:6" x14ac:dyDescent="0.25">
      <c r="B20">
        <f t="shared" si="1"/>
        <v>-1.4999999999999987</v>
      </c>
      <c r="E20">
        <f t="shared" si="0"/>
        <v>30.704999999999995</v>
      </c>
      <c r="F20">
        <f>_xlfn.NORM.DIST(E20,$B$1,$B$2,FALSE)</f>
        <v>4.7442342734758815E-2</v>
      </c>
    </row>
    <row r="21" spans="2:6" x14ac:dyDescent="0.25">
      <c r="B21">
        <f t="shared" si="1"/>
        <v>-1.3999999999999986</v>
      </c>
      <c r="E21">
        <f t="shared" si="0"/>
        <v>30.977999999999994</v>
      </c>
      <c r="F21">
        <f>_xlfn.NORM.DIST(E21,$B$1,$B$2,FALSE)</f>
        <v>5.484522550759878E-2</v>
      </c>
    </row>
    <row r="22" spans="2:6" x14ac:dyDescent="0.25">
      <c r="B22">
        <f t="shared" si="1"/>
        <v>-1.2999999999999985</v>
      </c>
      <c r="E22">
        <f t="shared" si="0"/>
        <v>31.250999999999994</v>
      </c>
      <c r="F22">
        <f>_xlfn.NORM.DIST(E22,$B$1,$B$2,FALSE)</f>
        <v>6.277237803948979E-2</v>
      </c>
    </row>
    <row r="23" spans="2:6" x14ac:dyDescent="0.25">
      <c r="B23">
        <f t="shared" si="1"/>
        <v>-1.1999999999999984</v>
      </c>
      <c r="E23">
        <f t="shared" si="0"/>
        <v>31.523999999999994</v>
      </c>
      <c r="F23">
        <f>_xlfn.NORM.DIST(E23,$B$1,$B$2,FALSE)</f>
        <v>7.1130423070773871E-2</v>
      </c>
    </row>
    <row r="24" spans="2:6" x14ac:dyDescent="0.25">
      <c r="B24">
        <f t="shared" si="1"/>
        <v>-1.0999999999999983</v>
      </c>
      <c r="E24">
        <f t="shared" si="0"/>
        <v>31.796999999999993</v>
      </c>
      <c r="F24">
        <f>_xlfn.NORM.DIST(E24,$B$1,$B$2,FALSE)</f>
        <v>7.9799332246355395E-2</v>
      </c>
    </row>
    <row r="25" spans="2:6" x14ac:dyDescent="0.25">
      <c r="B25">
        <f t="shared" si="1"/>
        <v>-0.99999999999999833</v>
      </c>
      <c r="E25">
        <f t="shared" si="0"/>
        <v>32.069999999999993</v>
      </c>
      <c r="F25">
        <f>_xlfn.NORM.DIST(E25,$B$1,$B$2,FALSE)</f>
        <v>8.8633965025327111E-2</v>
      </c>
    </row>
    <row r="26" spans="2:6" x14ac:dyDescent="0.25">
      <c r="B26">
        <f t="shared" si="1"/>
        <v>-0.89999999999999836</v>
      </c>
      <c r="E26">
        <f t="shared" si="0"/>
        <v>32.342999999999996</v>
      </c>
      <c r="F26">
        <f>_xlfn.NORM.DIST(E26,$B$1,$B$2,FALSE)</f>
        <v>9.7467124505038388E-2</v>
      </c>
    </row>
    <row r="27" spans="2:6" x14ac:dyDescent="0.25">
      <c r="B27">
        <f t="shared" si="1"/>
        <v>-0.79999999999999838</v>
      </c>
      <c r="E27">
        <f t="shared" si="0"/>
        <v>32.616</v>
      </c>
      <c r="F27">
        <f>_xlfn.NORM.DIST(E27,$B$1,$B$2,FALSE)</f>
        <v>0.1061141218906531</v>
      </c>
    </row>
    <row r="28" spans="2:6" x14ac:dyDescent="0.25">
      <c r="B28">
        <f t="shared" si="1"/>
        <v>-0.6999999999999984</v>
      </c>
      <c r="E28">
        <f t="shared" si="0"/>
        <v>32.889000000000003</v>
      </c>
      <c r="F28">
        <f>_xlfn.NORM.DIST(E28,$B$1,$B$2,FALSE)</f>
        <v>0.114378730170975</v>
      </c>
    </row>
    <row r="29" spans="2:6" x14ac:dyDescent="0.25">
      <c r="B29">
        <f t="shared" si="1"/>
        <v>-0.59999999999999842</v>
      </c>
      <c r="E29">
        <f t="shared" si="0"/>
        <v>33.162000000000006</v>
      </c>
      <c r="F29">
        <f>_xlfn.NORM.DIST(E29,$B$1,$B$2,FALSE)</f>
        <v>0.12206029409956054</v>
      </c>
    </row>
    <row r="30" spans="2:6" x14ac:dyDescent="0.25">
      <c r="B30">
        <f t="shared" si="1"/>
        <v>-0.49999999999999845</v>
      </c>
      <c r="E30">
        <f t="shared" si="0"/>
        <v>33.435000000000009</v>
      </c>
      <c r="F30">
        <f>_xlfn.NORM.DIST(E30,$B$1,$B$2,FALSE)</f>
        <v>0.12896165815542135</v>
      </c>
    </row>
    <row r="31" spans="2:6" x14ac:dyDescent="0.25">
      <c r="B31">
        <f t="shared" si="1"/>
        <v>-0.39999999999999847</v>
      </c>
      <c r="E31">
        <f t="shared" si="0"/>
        <v>33.708000000000013</v>
      </c>
      <c r="F31">
        <f>_xlfn.NORM.DIST(E31,$B$1,$B$2,FALSE)</f>
        <v>0.13489748729059495</v>
      </c>
    </row>
    <row r="32" spans="2:6" x14ac:dyDescent="0.25">
      <c r="B32">
        <f t="shared" si="1"/>
        <v>-0.29999999999999849</v>
      </c>
      <c r="E32">
        <f t="shared" si="0"/>
        <v>33.981000000000016</v>
      </c>
      <c r="F32">
        <f>_xlfn.NORM.DIST(E32,$B$1,$B$2,FALSE)</f>
        <v>0.13970249650568678</v>
      </c>
    </row>
    <row r="33" spans="2:13" x14ac:dyDescent="0.25">
      <c r="B33">
        <f t="shared" si="1"/>
        <v>-0.19999999999999848</v>
      </c>
      <c r="E33">
        <f t="shared" si="0"/>
        <v>34.254000000000019</v>
      </c>
      <c r="F33">
        <f>_xlfn.NORM.DIST(E33,$B$1,$B$2,FALSE)</f>
        <v>0.14323908204229177</v>
      </c>
    </row>
    <row r="34" spans="2:13" x14ac:dyDescent="0.25">
      <c r="B34">
        <f t="shared" si="1"/>
        <v>-9.9999999999998479E-2</v>
      </c>
      <c r="E34">
        <f t="shared" si="0"/>
        <v>34.527000000000022</v>
      </c>
      <c r="F34">
        <f>_xlfn.NORM.DIST(E34,$B$1,$B$2,FALSE)</f>
        <v>0.14540386354469309</v>
      </c>
    </row>
    <row r="35" spans="2:13" x14ac:dyDescent="0.25">
      <c r="B35">
        <f t="shared" si="1"/>
        <v>1.5265566588595902E-15</v>
      </c>
      <c r="E35">
        <f t="shared" si="0"/>
        <v>34.800000000000026</v>
      </c>
      <c r="F35">
        <f>_xlfn.NORM.DIST(E35,$B$1,$B$2,FALSE)</f>
        <v>0.14613270344374824</v>
      </c>
    </row>
    <row r="36" spans="2:13" x14ac:dyDescent="0.25">
      <c r="B36">
        <f t="shared" si="1"/>
        <v>0.10000000000000153</v>
      </c>
      <c r="E36">
        <f t="shared" si="0"/>
        <v>35.073000000000029</v>
      </c>
      <c r="F36">
        <f>_xlfn.NORM.DIST(E36,$B$1,$B$2,FALSE)</f>
        <v>0.14540386354469281</v>
      </c>
    </row>
    <row r="37" spans="2:13" x14ac:dyDescent="0.25">
      <c r="B37">
        <f t="shared" si="1"/>
        <v>0.20000000000000154</v>
      </c>
      <c r="E37">
        <f t="shared" si="0"/>
        <v>35.346000000000032</v>
      </c>
      <c r="F37">
        <f>_xlfn.NORM.DIST(E37,$B$1,$B$2,FALSE)</f>
        <v>0.14323908204229116</v>
      </c>
    </row>
    <row r="38" spans="2:13" x14ac:dyDescent="0.25">
      <c r="B38">
        <f t="shared" si="1"/>
        <v>0.30000000000000154</v>
      </c>
      <c r="E38">
        <f t="shared" si="0"/>
        <v>35.619000000000035</v>
      </c>
      <c r="F38">
        <f>_xlfn.NORM.DIST(E38,$B$1,$B$2,FALSE)</f>
        <v>0.13970249650568589</v>
      </c>
    </row>
    <row r="39" spans="2:13" x14ac:dyDescent="0.25">
      <c r="B39">
        <f t="shared" si="1"/>
        <v>0.40000000000000158</v>
      </c>
      <c r="E39">
        <f t="shared" si="0"/>
        <v>35.892000000000039</v>
      </c>
      <c r="F39">
        <f>_xlfn.NORM.DIST(E39,$B$1,$B$2,FALSE)</f>
        <v>0.13489748729059381</v>
      </c>
    </row>
    <row r="40" spans="2:13" x14ac:dyDescent="0.25">
      <c r="B40">
        <f t="shared" si="1"/>
        <v>0.50000000000000155</v>
      </c>
      <c r="E40">
        <f t="shared" si="0"/>
        <v>36.165000000000042</v>
      </c>
      <c r="F40">
        <f>_xlfn.NORM.DIST(E40,$B$1,$B$2,FALSE)</f>
        <v>0.12896165815542002</v>
      </c>
    </row>
    <row r="41" spans="2:13" x14ac:dyDescent="0.25">
      <c r="B41">
        <f t="shared" si="1"/>
        <v>0.60000000000000153</v>
      </c>
      <c r="E41">
        <f t="shared" si="0"/>
        <v>36.438000000000045</v>
      </c>
      <c r="F41">
        <f>_xlfn.NORM.DIST(E41,$B$1,$B$2,FALSE)</f>
        <v>0.12206029409955904</v>
      </c>
    </row>
    <row r="42" spans="2:13" x14ac:dyDescent="0.25">
      <c r="B42">
        <f>B41+0.1</f>
        <v>0.70000000000000151</v>
      </c>
      <c r="E42">
        <f t="shared" si="0"/>
        <v>36.711000000000048</v>
      </c>
      <c r="F42">
        <f>_xlfn.NORM.DIST(E42,$B$1,$B$2,FALSE)</f>
        <v>0.11437873017097333</v>
      </c>
    </row>
    <row r="43" spans="2:13" x14ac:dyDescent="0.25">
      <c r="B43">
        <f t="shared" si="1"/>
        <v>0.80000000000000149</v>
      </c>
      <c r="E43">
        <f t="shared" si="0"/>
        <v>36.984000000000052</v>
      </c>
      <c r="F43">
        <f>_xlfn.NORM.DIST(E43,$B$1,$B$2,FALSE)</f>
        <v>0.10611412189065134</v>
      </c>
    </row>
    <row r="44" spans="2:13" x14ac:dyDescent="0.25">
      <c r="B44">
        <f t="shared" si="1"/>
        <v>0.90000000000000147</v>
      </c>
      <c r="E44">
        <f t="shared" si="0"/>
        <v>37.257000000000055</v>
      </c>
      <c r="F44">
        <f>_xlfn.NORM.DIST(E44,$B$1,$B$2,FALSE)</f>
        <v>9.7467124505036556E-2</v>
      </c>
    </row>
    <row r="45" spans="2:13" x14ac:dyDescent="0.25">
      <c r="B45">
        <f t="shared" si="1"/>
        <v>1.0000000000000016</v>
      </c>
      <c r="E45">
        <f t="shared" si="0"/>
        <v>37.530000000000058</v>
      </c>
      <c r="F45">
        <f>_xlfn.NORM.DIST(E45,$B$1,$B$2,FALSE)</f>
        <v>8.8633965025325279E-2</v>
      </c>
      <c r="L45" t="s">
        <v>8</v>
      </c>
      <c r="M45" s="2" t="s">
        <v>11</v>
      </c>
    </row>
    <row r="46" spans="2:13" x14ac:dyDescent="0.25">
      <c r="B46">
        <f t="shared" si="1"/>
        <v>1.1000000000000016</v>
      </c>
      <c r="E46">
        <f t="shared" si="0"/>
        <v>37.803000000000061</v>
      </c>
      <c r="F46">
        <f>_xlfn.NORM.DIST(E46,$B$1,$B$2,FALSE)</f>
        <v>7.9799332246353466E-2</v>
      </c>
      <c r="L46" t="s">
        <v>9</v>
      </c>
      <c r="M46" t="s">
        <v>12</v>
      </c>
    </row>
    <row r="47" spans="2:13" x14ac:dyDescent="0.25">
      <c r="B47">
        <f t="shared" si="1"/>
        <v>1.2000000000000017</v>
      </c>
      <c r="E47">
        <f t="shared" si="0"/>
        <v>38.076000000000064</v>
      </c>
      <c r="F47">
        <f>_xlfn.NORM.DIST(E47,$B$1,$B$2,FALSE)</f>
        <v>7.1130423070771873E-2</v>
      </c>
      <c r="L47" t="s">
        <v>10</v>
      </c>
      <c r="M47" t="s">
        <v>13</v>
      </c>
    </row>
    <row r="48" spans="2:13" x14ac:dyDescent="0.25">
      <c r="B48">
        <f t="shared" si="1"/>
        <v>1.3000000000000018</v>
      </c>
      <c r="E48">
        <f t="shared" si="0"/>
        <v>38.349000000000068</v>
      </c>
      <c r="F48">
        <f>_xlfn.NORM.DIST(E48,$B$1,$B$2,FALSE)</f>
        <v>6.2772378039487778E-2</v>
      </c>
    </row>
    <row r="49" spans="2:6" x14ac:dyDescent="0.25">
      <c r="B49">
        <f t="shared" si="1"/>
        <v>1.4000000000000019</v>
      </c>
      <c r="E49">
        <f t="shared" si="0"/>
        <v>38.622000000000071</v>
      </c>
      <c r="F49">
        <f>_xlfn.NORM.DIST(E49,$B$1,$B$2,FALSE)</f>
        <v>5.4845225507596775E-2</v>
      </c>
    </row>
    <row r="50" spans="2:6" x14ac:dyDescent="0.25">
      <c r="B50">
        <f t="shared" si="1"/>
        <v>1.500000000000002</v>
      </c>
      <c r="E50">
        <f t="shared" si="0"/>
        <v>38.895000000000074</v>
      </c>
      <c r="F50">
        <f>_xlfn.NORM.DIST(E50,$B$1,$B$2,FALSE)</f>
        <v>4.7442342734756872E-2</v>
      </c>
    </row>
    <row r="51" spans="2:6" x14ac:dyDescent="0.25">
      <c r="B51">
        <f t="shared" si="1"/>
        <v>1.6000000000000021</v>
      </c>
      <c r="E51">
        <f t="shared" si="0"/>
        <v>39.168000000000077</v>
      </c>
      <c r="F51">
        <f>_xlfn.NORM.DIST(E51,$B$1,$B$2,FALSE)</f>
        <v>4.0630342373425034E-2</v>
      </c>
    </row>
    <row r="52" spans="2:6" x14ac:dyDescent="0.25">
      <c r="B52">
        <f t="shared" si="1"/>
        <v>1.7000000000000022</v>
      </c>
      <c r="E52">
        <f t="shared" si="0"/>
        <v>39.441000000000081</v>
      </c>
      <c r="F52">
        <f>_xlfn.NORM.DIST(E52,$B$1,$B$2,FALSE)</f>
        <v>3.4450211493363386E-2</v>
      </c>
    </row>
    <row r="53" spans="2:6" x14ac:dyDescent="0.25">
      <c r="B53">
        <f t="shared" si="1"/>
        <v>1.8000000000000023</v>
      </c>
      <c r="E53">
        <f t="shared" si="0"/>
        <v>39.714000000000084</v>
      </c>
      <c r="F53">
        <f>_xlfn.NORM.DIST(E53,$B$1,$B$2,FALSE)</f>
        <v>2.8919471905087781E-2</v>
      </c>
    </row>
    <row r="54" spans="2:6" x14ac:dyDescent="0.25">
      <c r="B54">
        <f t="shared" si="1"/>
        <v>1.9000000000000024</v>
      </c>
      <c r="E54">
        <f t="shared" si="0"/>
        <v>39.987000000000087</v>
      </c>
      <c r="F54">
        <f>_xlfn.NORM.DIST(E54,$B$1,$B$2,FALSE)</f>
        <v>2.4035096987059516E-2</v>
      </c>
    </row>
    <row r="55" spans="2:6" x14ac:dyDescent="0.25">
      <c r="B55">
        <f t="shared" si="1"/>
        <v>2.0000000000000022</v>
      </c>
      <c r="E55">
        <f t="shared" si="0"/>
        <v>40.26000000000009</v>
      </c>
      <c r="F55">
        <f>_xlfn.NORM.DIST(E55,$B$1,$B$2,FALSE)</f>
        <v>1.9776910810690242E-2</v>
      </c>
    </row>
    <row r="56" spans="2:6" x14ac:dyDescent="0.25">
      <c r="B56">
        <f t="shared" si="1"/>
        <v>2.1000000000000023</v>
      </c>
      <c r="E56">
        <f t="shared" si="0"/>
        <v>40.533000000000094</v>
      </c>
      <c r="F56">
        <f>_xlfn.NORM.DIST(E56,$B$1,$B$2,FALSE)</f>
        <v>1.6111207318836612E-2</v>
      </c>
    </row>
    <row r="57" spans="2:6" x14ac:dyDescent="0.25">
      <c r="B57">
        <f t="shared" si="1"/>
        <v>2.2000000000000024</v>
      </c>
      <c r="E57">
        <f t="shared" si="0"/>
        <v>40.806000000000097</v>
      </c>
      <c r="F57">
        <f>_xlfn.NORM.DIST(E57,$B$1,$B$2,FALSE)</f>
        <v>1.2994356353929886E-2</v>
      </c>
    </row>
    <row r="58" spans="2:6" x14ac:dyDescent="0.25">
      <c r="B58">
        <f t="shared" si="1"/>
        <v>2.3000000000000025</v>
      </c>
      <c r="E58">
        <f t="shared" si="0"/>
        <v>41.0790000000001</v>
      </c>
      <c r="F58">
        <f>_xlfn.NORM.DIST(E58,$B$1,$B$2,FALSE)</f>
        <v>1.0376204300951911E-2</v>
      </c>
    </row>
    <row r="59" spans="2:6" x14ac:dyDescent="0.25">
      <c r="B59">
        <f t="shared" si="1"/>
        <v>2.4000000000000026</v>
      </c>
      <c r="E59">
        <f t="shared" si="0"/>
        <v>41.352000000000103</v>
      </c>
      <c r="F59">
        <f>_xlfn.NORM.DIST(E59,$B$1,$B$2,FALSE)</f>
        <v>8.2031246501248368E-3</v>
      </c>
    </row>
    <row r="60" spans="2:6" x14ac:dyDescent="0.25">
      <c r="B60">
        <f t="shared" si="1"/>
        <v>2.5000000000000027</v>
      </c>
      <c r="E60">
        <f t="shared" si="0"/>
        <v>41.625000000000107</v>
      </c>
      <c r="F60">
        <f>_xlfn.NORM.DIST(E60,$B$1,$B$2,FALSE)</f>
        <v>6.4206228914164059E-3</v>
      </c>
    </row>
    <row r="61" spans="2:6" x14ac:dyDescent="0.25">
      <c r="B61">
        <f t="shared" si="1"/>
        <v>2.6000000000000028</v>
      </c>
      <c r="E61">
        <f t="shared" si="0"/>
        <v>41.89800000000011</v>
      </c>
      <c r="F61">
        <f>_xlfn.NORM.DIST(E61,$B$1,$B$2,FALSE)</f>
        <v>4.9754466057451117E-3</v>
      </c>
    </row>
    <row r="62" spans="2:6" x14ac:dyDescent="0.25">
      <c r="B62">
        <f t="shared" si="1"/>
        <v>2.7000000000000028</v>
      </c>
      <c r="E62">
        <f t="shared" si="0"/>
        <v>42.171000000000113</v>
      </c>
      <c r="F62">
        <f>_xlfn.NORM.DIST(E62,$B$1,$B$2,FALSE)</f>
        <v>3.8171922397147997E-3</v>
      </c>
    </row>
    <row r="63" spans="2:6" x14ac:dyDescent="0.25">
      <c r="B63">
        <f t="shared" si="1"/>
        <v>2.8000000000000029</v>
      </c>
      <c r="E63">
        <f t="shared" si="0"/>
        <v>42.444000000000116</v>
      </c>
      <c r="F63">
        <f>_xlfn.NORM.DIST(E63,$B$1,$B$2,FALSE)</f>
        <v>2.8994328142780195E-3</v>
      </c>
    </row>
    <row r="64" spans="2:6" x14ac:dyDescent="0.25">
      <c r="B64">
        <f t="shared" si="1"/>
        <v>2.900000000000003</v>
      </c>
      <c r="E64">
        <f t="shared" si="0"/>
        <v>42.71700000000012</v>
      </c>
      <c r="F64">
        <f>_xlfn.NORM.DIST(E64,$B$1,$B$2,FALSE)</f>
        <v>2.1804148057784183E-3</v>
      </c>
    </row>
    <row r="65" spans="2:6" x14ac:dyDescent="0.25">
      <c r="B65">
        <f t="shared" si="1"/>
        <v>3.0000000000000031</v>
      </c>
      <c r="E65">
        <f t="shared" si="0"/>
        <v>42.990000000000123</v>
      </c>
      <c r="F65">
        <f>_xlfn.NORM.DIST(E65,$B$1,$B$2,FALSE)</f>
        <v>1.6233876966803638E-3</v>
      </c>
    </row>
    <row r="66" spans="2:6" x14ac:dyDescent="0.25">
      <c r="B66">
        <f t="shared" si="1"/>
        <v>3.1000000000000032</v>
      </c>
      <c r="E66">
        <f t="shared" si="0"/>
        <v>43.263000000000126</v>
      </c>
      <c r="F66">
        <f>_xlfn.NORM.DIST(E66,$B$1,$B$2,FALSE)</f>
        <v>1.1966370169228728E-3</v>
      </c>
    </row>
  </sheetData>
  <mergeCells count="1">
    <mergeCell ref="A4:C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Diniz</dc:creator>
  <cp:lastModifiedBy>José Diniz</cp:lastModifiedBy>
  <dcterms:created xsi:type="dcterms:W3CDTF">2018-03-23T22:46:11Z</dcterms:created>
  <dcterms:modified xsi:type="dcterms:W3CDTF">2018-03-24T02:46:04Z</dcterms:modified>
</cp:coreProperties>
</file>