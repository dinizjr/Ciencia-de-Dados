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.diniz\OneDrive\Ciência de Dados\Trabalhos\"/>
    </mc:Choice>
  </mc:AlternateContent>
  <bookViews>
    <workbookView xWindow="0" yWindow="0" windowWidth="19200" windowHeight="11385"/>
  </bookViews>
  <sheets>
    <sheet name="Estatística descritiva" sheetId="1" r:id="rId1"/>
    <sheet name="Correlação" sheetId="2" r:id="rId2"/>
    <sheet name="Curva de Gauss" sheetId="3" r:id="rId3"/>
    <sheet name="IC  e T" sheetId="4" r:id="rId4"/>
    <sheet name="Carta de controle" sheetId="5" r:id="rId5"/>
    <sheet name="Qui Quadrado" sheetId="6" r:id="rId6"/>
    <sheet name="F e T" sheetId="7" r:id="rId7"/>
    <sheet name="Qui Quadrado 2" sheetId="8" r:id="rId8"/>
    <sheet name="Anova" sheetId="9" r:id="rId9"/>
  </sheets>
  <externalReferences>
    <externalReference r:id="rId10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8" l="1"/>
  <c r="F16" i="8" s="1"/>
  <c r="B12" i="8"/>
  <c r="F12" i="8" s="1"/>
  <c r="B8" i="8"/>
  <c r="I8" i="8" s="1"/>
  <c r="I6" i="8"/>
  <c r="F6" i="8"/>
  <c r="E6" i="8"/>
  <c r="C6" i="8"/>
  <c r="G10" i="8" s="1"/>
  <c r="I10" i="8" s="1"/>
  <c r="I12" i="8" s="1"/>
  <c r="G4" i="4"/>
  <c r="D6" i="8" l="1"/>
  <c r="H6" i="8" s="1"/>
  <c r="H10" i="8" s="1"/>
  <c r="H12" i="8" s="1"/>
  <c r="H14" i="8" s="1"/>
  <c r="B10" i="8"/>
  <c r="F10" i="8" s="1"/>
  <c r="B14" i="8"/>
  <c r="F14" i="8" s="1"/>
  <c r="C8" i="8"/>
  <c r="C12" i="8"/>
  <c r="F8" i="8"/>
  <c r="G6" i="8"/>
  <c r="D8" i="8" l="1"/>
  <c r="D10" i="8" s="1"/>
  <c r="D12" i="8" s="1"/>
  <c r="D14" i="8" s="1"/>
  <c r="G16" i="8"/>
  <c r="G12" i="8"/>
  <c r="E12" i="8"/>
  <c r="C14" i="8"/>
  <c r="H8" i="8"/>
  <c r="H16" i="8" s="1"/>
  <c r="G8" i="8"/>
  <c r="E8" i="8"/>
  <c r="E14" i="8" s="1"/>
  <c r="E16" i="8" s="1"/>
  <c r="C10" i="8"/>
  <c r="B37" i="2"/>
  <c r="E10" i="8" l="1"/>
  <c r="G14" i="8"/>
  <c r="C16" i="8"/>
  <c r="I14" i="8"/>
  <c r="I16" i="8" s="1"/>
  <c r="D16" i="8"/>
  <c r="B4" i="9" l="1"/>
  <c r="B5" i="9" s="1"/>
  <c r="C3" i="9"/>
  <c r="B3" i="9"/>
  <c r="D2" i="9" s="1"/>
  <c r="D3" i="9" s="1"/>
  <c r="D4" i="9" s="1"/>
  <c r="D5" i="9" s="1"/>
  <c r="D6" i="9" s="1"/>
  <c r="D7" i="9" s="1"/>
  <c r="D8" i="9" s="1"/>
  <c r="D9" i="9" s="1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D23" i="9" s="1"/>
  <c r="D24" i="9" s="1"/>
  <c r="D25" i="9" s="1"/>
  <c r="D26" i="9" s="1"/>
  <c r="F16" i="4"/>
  <c r="F17" i="7"/>
  <c r="J17" i="7"/>
  <c r="H17" i="7"/>
  <c r="D27" i="9" l="1"/>
  <c r="D28" i="9" s="1"/>
  <c r="D29" i="9" s="1"/>
  <c r="D30" i="9" s="1"/>
  <c r="D33" i="9"/>
  <c r="B6" i="9"/>
  <c r="C5" i="9"/>
  <c r="C4" i="9"/>
  <c r="D34" i="9" l="1"/>
  <c r="D35" i="9" s="1"/>
  <c r="D31" i="9"/>
  <c r="D32" i="9" s="1"/>
  <c r="C6" i="9"/>
  <c r="B7" i="9"/>
  <c r="D44" i="9" l="1"/>
  <c r="D45" i="9" s="1"/>
  <c r="D46" i="9" s="1"/>
  <c r="D36" i="9"/>
  <c r="D37" i="9" s="1"/>
  <c r="D38" i="9" s="1"/>
  <c r="D39" i="9" s="1"/>
  <c r="D40" i="9" s="1"/>
  <c r="D41" i="9" s="1"/>
  <c r="D42" i="9" s="1"/>
  <c r="D43" i="9" s="1"/>
  <c r="B8" i="9"/>
  <c r="C7" i="9"/>
  <c r="C4" i="7"/>
  <c r="F16" i="7"/>
  <c r="F15" i="7"/>
  <c r="P3" i="6"/>
  <c r="Q3" i="6" s="1"/>
  <c r="P4" i="6"/>
  <c r="Q4" i="6" s="1"/>
  <c r="P5" i="6"/>
  <c r="Q5" i="6" s="1"/>
  <c r="P6" i="6"/>
  <c r="Q6" i="6" s="1"/>
  <c r="P7" i="6"/>
  <c r="Q7" i="6" s="1"/>
  <c r="P2" i="6"/>
  <c r="Q2" i="6" s="1"/>
  <c r="O3" i="6"/>
  <c r="O4" i="6"/>
  <c r="O5" i="6"/>
  <c r="O6" i="6"/>
  <c r="O7" i="6"/>
  <c r="O2" i="6"/>
  <c r="E10" i="6"/>
  <c r="N3" i="6"/>
  <c r="N4" i="6"/>
  <c r="N5" i="6"/>
  <c r="N6" i="6"/>
  <c r="N7" i="6"/>
  <c r="N2" i="6"/>
  <c r="E5" i="6"/>
  <c r="J5" i="6" s="1"/>
  <c r="J4" i="6"/>
  <c r="F17" i="4"/>
  <c r="J18" i="4"/>
  <c r="F18" i="4"/>
  <c r="H18" i="4"/>
  <c r="B9" i="9" l="1"/>
  <c r="C8" i="9"/>
  <c r="E6" i="6"/>
  <c r="C9" i="9" l="1"/>
  <c r="B10" i="9"/>
  <c r="E7" i="6"/>
  <c r="J6" i="6"/>
  <c r="B11" i="9" l="1"/>
  <c r="B12" i="9" s="1"/>
  <c r="B13" i="9" s="1"/>
  <c r="B14" i="9" s="1"/>
  <c r="B15" i="9" s="1"/>
  <c r="C10" i="9"/>
  <c r="C11" i="9" s="1"/>
  <c r="C12" i="9" s="1"/>
  <c r="C13" i="9" s="1"/>
  <c r="C14" i="9" s="1"/>
  <c r="J10" i="6"/>
  <c r="E8" i="6"/>
  <c r="J8" i="6" s="1"/>
  <c r="J7" i="6"/>
  <c r="E9" i="6"/>
  <c r="J9" i="6" s="1"/>
  <c r="B16" i="9" l="1"/>
  <c r="C15" i="9"/>
  <c r="B17" i="9" l="1"/>
  <c r="B18" i="9" s="1"/>
  <c r="B19" i="9" s="1"/>
  <c r="C16" i="9"/>
  <c r="C17" i="9" s="1"/>
  <c r="C18" i="9" s="1"/>
  <c r="C19" i="9" l="1"/>
  <c r="C20" i="9" s="1"/>
  <c r="B20" i="9"/>
  <c r="B21" i="9" s="1"/>
  <c r="B22" i="9" l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C2" i="9" s="1"/>
  <c r="C21" i="9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8" i="9" l="1"/>
  <c r="C39" i="9" s="1"/>
  <c r="C40" i="9" s="1"/>
  <c r="C41" i="9" s="1"/>
  <c r="C42" i="9" s="1"/>
  <c r="C43" i="9" s="1"/>
  <c r="C44" i="9" s="1"/>
  <c r="C45" i="9" s="1"/>
  <c r="C46" i="9" s="1"/>
  <c r="C35" i="9"/>
  <c r="C36" i="9" s="1"/>
  <c r="C37" i="9" s="1"/>
  <c r="H5" i="4" l="1"/>
  <c r="H12" i="4"/>
  <c r="G11" i="4"/>
  <c r="G10" i="4"/>
  <c r="J12" i="4" s="1"/>
  <c r="G9" i="4"/>
  <c r="G3" i="4"/>
  <c r="F5" i="4" s="1"/>
  <c r="G2" i="4"/>
  <c r="F12" i="4" l="1"/>
  <c r="J5" i="4"/>
  <c r="D41" i="2"/>
  <c r="C41" i="2"/>
  <c r="D8" i="2"/>
  <c r="C8" i="2"/>
  <c r="B41" i="2"/>
  <c r="B8" i="2"/>
  <c r="B4" i="2"/>
  <c r="H18" i="1"/>
  <c r="E18" i="1"/>
  <c r="K18" i="1"/>
  <c r="B18" i="1"/>
  <c r="E6" i="1" l="1"/>
</calcChain>
</file>

<file path=xl/sharedStrings.xml><?xml version="1.0" encoding="utf-8"?>
<sst xmlns="http://schemas.openxmlformats.org/spreadsheetml/2006/main" count="319" uniqueCount="208">
  <si>
    <t>Sistema controle A1c</t>
  </si>
  <si>
    <t>Média</t>
  </si>
  <si>
    <t>Erro padrão</t>
  </si>
  <si>
    <t>Mediana</t>
  </si>
  <si>
    <t>Modo</t>
  </si>
  <si>
    <t>Desvio 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</si>
  <si>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</si>
  <si>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</si>
  <si>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</si>
  <si>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</si>
  <si>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</si>
  <si>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</si>
  <si>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</si>
  <si>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</si>
  <si>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Nível de confiança(95,0%)</t>
  </si>
  <si>
    <t xml:space="preserve">Saidas retrabalho </t>
  </si>
  <si>
    <t>Sistema controle Atc</t>
  </si>
  <si>
    <t>Coeficiente de variação</t>
  </si>
  <si>
    <t>baixa dispersão,confiabilidade alta</t>
  </si>
  <si>
    <t>Coeficiente de determinação</t>
  </si>
  <si>
    <t>y = 0,0364*340546 - 1784,3</t>
  </si>
  <si>
    <t>y  = 0,0364x - 1784,3</t>
  </si>
  <si>
    <t>y = 0,0369x + 1229,4</t>
  </si>
  <si>
    <t>Previsão para o próximo período para um retrabalho de:340546</t>
  </si>
  <si>
    <t>Previsão para o próximo período para um retrabalho de: 367016</t>
  </si>
  <si>
    <t>y = (0,0369*367016) + 1229,4</t>
  </si>
  <si>
    <t>Margem de erro</t>
  </si>
  <si>
    <t>PERÍODO DIURNO</t>
  </si>
  <si>
    <t>PERÍODO NOTURNO</t>
  </si>
  <si>
    <t>x(média)</t>
  </si>
  <si>
    <t>intervalo de confiança</t>
  </si>
  <si>
    <t>IC</t>
  </si>
  <si>
    <t>erro</t>
  </si>
  <si>
    <t>e</t>
  </si>
  <si>
    <t>dp(desvio)</t>
  </si>
  <si>
    <t>teste t</t>
  </si>
  <si>
    <t>tc</t>
  </si>
  <si>
    <t>n(dados)</t>
  </si>
  <si>
    <t>x'(pontodesestudo)</t>
  </si>
  <si>
    <t>z(confiança 99,74%)</t>
  </si>
  <si>
    <t>Sistema controle A1c - DIURNO</t>
  </si>
  <si>
    <t>Saidas retrabalho - DIURNO</t>
  </si>
  <si>
    <t>Sistema controle Atc - NOTURNO</t>
  </si>
  <si>
    <t>Saidas retrabalho - NOTURNO</t>
  </si>
  <si>
    <t>PRÍODO DIURNO PARA UM VALOR DE 252727 COM 95% DE CONFIANÇA</t>
  </si>
  <si>
    <t>&lt;</t>
  </si>
  <si>
    <t>Ic</t>
  </si>
  <si>
    <t>x1</t>
  </si>
  <si>
    <t>variância</t>
  </si>
  <si>
    <t>v1</t>
  </si>
  <si>
    <t>GL</t>
  </si>
  <si>
    <t>número de amostra</t>
  </si>
  <si>
    <t>n1</t>
  </si>
  <si>
    <t>estimativa das médias</t>
  </si>
  <si>
    <t>x2</t>
  </si>
  <si>
    <t>v2</t>
  </si>
  <si>
    <t>n2</t>
  </si>
  <si>
    <t>confiança 95%</t>
  </si>
  <si>
    <t>z</t>
  </si>
  <si>
    <t>to = 1,96</t>
  </si>
  <si>
    <t>Hipótese Ho rejeitada</t>
  </si>
  <si>
    <t>Padrão do componentes do produto XTSAH</t>
  </si>
  <si>
    <t>Produto encontrado na Jazida  XTSBW</t>
  </si>
  <si>
    <t>Normatização 0844FACENS</t>
  </si>
  <si>
    <t>amostra 0-99-15AF</t>
  </si>
  <si>
    <t>Padrão</t>
  </si>
  <si>
    <t xml:space="preserve">Padraão substâncias </t>
  </si>
  <si>
    <t>%</t>
  </si>
  <si>
    <t>Amostra</t>
  </si>
  <si>
    <t xml:space="preserve">Peça retirada jazida </t>
  </si>
  <si>
    <t>composição em mmg</t>
  </si>
  <si>
    <t>ouro puro</t>
  </si>
  <si>
    <t>Ouro puro</t>
  </si>
  <si>
    <t>Ferro</t>
  </si>
  <si>
    <t>ferro</t>
  </si>
  <si>
    <t>cromo</t>
  </si>
  <si>
    <t>níquel</t>
  </si>
  <si>
    <t>niquel</t>
  </si>
  <si>
    <t>chumbo</t>
  </si>
  <si>
    <t>ouro t3</t>
  </si>
  <si>
    <t>O</t>
  </si>
  <si>
    <t>E</t>
  </si>
  <si>
    <t>(O-E)^2</t>
  </si>
  <si>
    <t>(O-E)^2/E</t>
  </si>
  <si>
    <t>TOTAL</t>
  </si>
  <si>
    <t>Substância</t>
  </si>
  <si>
    <t>O ouro T3 está muito acima do esperado,o correto seria diminuir a quantidade de T3 e aumentar o ouro puro para chegarmos no padrão estabelecido e consequentemente obter uma jazida mais pura, fazendo com que seu comércio seja mais valioso e vantajoso.</t>
  </si>
  <si>
    <t>Teste T para as duas amostras de produção</t>
  </si>
  <si>
    <t>Teste T para as duas amostras de retrabalho</t>
  </si>
  <si>
    <t>Fc</t>
  </si>
  <si>
    <t>Fo</t>
  </si>
  <si>
    <t>Variância produção noturno</t>
  </si>
  <si>
    <t>Variância produção diurno</t>
  </si>
  <si>
    <t>Fc &gt; Fo</t>
  </si>
  <si>
    <t>média diurno</t>
  </si>
  <si>
    <t>média noturno</t>
  </si>
  <si>
    <t>por hora</t>
  </si>
  <si>
    <t>Manhã</t>
  </si>
  <si>
    <t>tarde</t>
  </si>
  <si>
    <t>noite</t>
  </si>
  <si>
    <t>amostra 1</t>
  </si>
  <si>
    <t>amostra 2</t>
  </si>
  <si>
    <t>amostra 3</t>
  </si>
  <si>
    <t>amostra 4</t>
  </si>
  <si>
    <t>amostra 5</t>
  </si>
  <si>
    <t>amostra 6</t>
  </si>
  <si>
    <t>amostra 7</t>
  </si>
  <si>
    <t>amostra 8</t>
  </si>
  <si>
    <t>amostra 9</t>
  </si>
  <si>
    <t>amostra 10</t>
  </si>
  <si>
    <t>amostra 11</t>
  </si>
  <si>
    <t>amostra 12</t>
  </si>
  <si>
    <t>amostra 13</t>
  </si>
  <si>
    <t>amostra 14</t>
  </si>
  <si>
    <t>amostra 15</t>
  </si>
  <si>
    <t>amostra 16</t>
  </si>
  <si>
    <t>amostra 17</t>
  </si>
  <si>
    <t>amostra 18</t>
  </si>
  <si>
    <t>amostra 19</t>
  </si>
  <si>
    <t>amostra 20</t>
  </si>
  <si>
    <t>amostra 21</t>
  </si>
  <si>
    <t>amostra 22</t>
  </si>
  <si>
    <t>amostra 23</t>
  </si>
  <si>
    <t>amostra 24</t>
  </si>
  <si>
    <t>amostra 25</t>
  </si>
  <si>
    <t>amostra 26</t>
  </si>
  <si>
    <t>amostra 27</t>
  </si>
  <si>
    <t>amostra 28</t>
  </si>
  <si>
    <t>amostra 29</t>
  </si>
  <si>
    <t>amostra 30</t>
  </si>
  <si>
    <t>amostra 31</t>
  </si>
  <si>
    <t>amostra 32</t>
  </si>
  <si>
    <t>amostra 33</t>
  </si>
  <si>
    <t>amostra 34</t>
  </si>
  <si>
    <t>amostra 35</t>
  </si>
  <si>
    <t>amostra 36</t>
  </si>
  <si>
    <t>amostra 37</t>
  </si>
  <si>
    <t>amostra 38</t>
  </si>
  <si>
    <t>amostra 39</t>
  </si>
  <si>
    <t>amostra 40</t>
  </si>
  <si>
    <t>amostra 41</t>
  </si>
  <si>
    <t>amostra 42</t>
  </si>
  <si>
    <t>amostra 43</t>
  </si>
  <si>
    <t>amostra 44</t>
  </si>
  <si>
    <t>amostra 45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</si>
  <si>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</si>
  <si>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</si>
  <si>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</si>
  <si>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</si>
  <si>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</si>
  <si>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</si>
  <si>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</si>
  <si>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</si>
  <si>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</si>
  <si>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</si>
  <si>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</si>
  <si>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</si>
  <si>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</si>
  <si>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</si>
  <si>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</si>
  <si>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</si>
  <si>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</si>
  <si>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</si>
  <si>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De acordo com o coeficiente de variação calculado,a dispersão está baixa,comparado com o padrão estabelecido,assim,a confiabilidade se torna alta ,fazendo que a integridade desses dados sejam reais e demonstre confiança para o resultado final.A curva desses dados é leptocúrtica pela curtose ser menor que 0,263 e como a assimetria é negatica têm uma tendência à direita.</t>
  </si>
  <si>
    <t>Analisando esses dados, verifica-se que existe uma média dispersão entre os dados, de acordo com seu coeficiente de variação de 22%, fazendo com que se tenha uma média confiabilidade.Sua curva é platicúrtica,isso quer dizer que seus dados estão mais dispersos em relação a média do que na curva normal, e está tendênciando à direita.</t>
  </si>
  <si>
    <t>Nos dados da produção noturna também existe uma média dispersão entre os dados, e uma média confiabilidade.Sua curva é leptocúrtica e com tendência à direita.</t>
  </si>
  <si>
    <t>A correlação de 77% mostra que não existe muita relação entre os dados coletados no período noturno, ou seja, os retrabalhos não dependem tanto assim do sistema de controle,é preciso ser analisado o que está afetando este retrabalho.Seus dados estão muito dispersos, a previsão do próximo período tem uma confiança de somente 59%,não sendo confiável.A previsão de média para uma produção de 367016 será um retrabalho entre 8716 e 20829</t>
  </si>
  <si>
    <t>Como o valor de Tc foi superior ao valor de To, a hipótese de igualdade foi rejeitada,isso significa que a inspeção do supervisor obteve diferença nas produções entre o período diurno e noturno.</t>
  </si>
  <si>
    <t>to</t>
  </si>
  <si>
    <t>tc &gt; to</t>
  </si>
  <si>
    <t>Hipótese rejeitada</t>
  </si>
  <si>
    <t>PRÍODO NOTURNO PARA UMA PRODUÇÃO DE 283334 COM 99,74% DE CONFIANÇA</t>
  </si>
  <si>
    <t>tc &lt; to</t>
  </si>
  <si>
    <t>Hipótese aceita</t>
  </si>
  <si>
    <t>A hipótese de se obter uma produção no período noturno de 283334 com a confiança de 99,74% foi rejeitada, pois o t calculado é bem superior ao t observado, este valor de produção está muito acima da média, onde seu intervalo de confiança fica entre 199946 e 234712,este valor de produção fica bem fora deste intervalo.</t>
  </si>
  <si>
    <t>Já no período diurno  hipótese de se obter uma produção de 252727 com a confiança de 95% foi aceita, este valor esta dentro do intervalo de confiança da média, que é entre 251135 e 269769.</t>
  </si>
  <si>
    <t xml:space="preserve">Incompatibildiade </t>
  </si>
  <si>
    <t>Operadores</t>
  </si>
  <si>
    <t>planej.</t>
  </si>
  <si>
    <t>Apoio</t>
  </si>
  <si>
    <t xml:space="preserve">Apoio </t>
  </si>
  <si>
    <t>metas</t>
  </si>
  <si>
    <t>no sistema</t>
  </si>
  <si>
    <t>sem treinamento</t>
  </si>
  <si>
    <t>Gerencial</t>
  </si>
  <si>
    <t>sem metas</t>
  </si>
  <si>
    <t>do TI</t>
  </si>
  <si>
    <t>logístico</t>
  </si>
  <si>
    <t>atingidas</t>
  </si>
  <si>
    <t xml:space="preserve">Serviços </t>
  </si>
  <si>
    <t>comércio</t>
  </si>
  <si>
    <t>Indústria</t>
  </si>
  <si>
    <t>Serviços A</t>
  </si>
  <si>
    <t>Comércio A</t>
  </si>
  <si>
    <t xml:space="preserve">Indústria  A </t>
  </si>
  <si>
    <t>Pesquisa realizada na empresa FCV para determinar se os clientes que atendem há uma homogeniedade pois se houver os problemas estão nos quesitos pesquisados  e poderemos determinar onde corrigir, caso contrário não depende da empresa mas sim de outros fatores</t>
  </si>
  <si>
    <t xml:space="preserve">Instabilidade </t>
  </si>
  <si>
    <t>incompetência</t>
  </si>
  <si>
    <t>Analisando a tabela,verificamos que o ponto de maior problema foi a "incompetência do TI", atingindo o setor de "serviços","comércio" e "comércio A".Outro setor a se analisar é o de Serviços A, que obteve diferença em 3 dos 8 quesitos estudados, que são: "operadores em treinamento","instabilidade gerencial" e "metas atingidas",também tivemos problemas em "operadores em treinamento" no setor de indústria e "instabilidade gerencial"  em indústria A.Então, precisamos focar na gerência da empresa ver o que está gerando esta instabilidade e principalmente no setor de TI, e´preciso ser analisado o que está acontecendo,e focar na solução dos problemas para obtermos uma homogeniedade nesses parâmetros.</t>
  </si>
  <si>
    <t>Analisando a carta de controle dos dados de produção do período diurno, podemos observar que entre o período de jan/12 à mai/12 obtivemos uma média baixa na produção,ficando abaixo da linha de limite inferior, subindo de junho a agosto e voltando a cair novamente em setembro e outubro.De nov/12 a julho/13 tivemos altos a baixas na produção,após este período, até o período analisado, de mar/18, ficamos sempre em torno da linha da média quase chegando ao limite superior em jun/15,mas não ultrapassando.Analisando o gráfico de amplitude, observamos que no período de abr/12 a set/12 tivemos uma dispersão alta entre os dados dos meses coletados, mas o período mais crítico foi de mai/13 a jul/13,onde a amplitude foi muito alta de um mês para o outro.Analisando a amplitude de todo o período de estudo,podemos observar que obtivemos muita discrepância de uma média mensal para outra em vários períodos, isso deve ser analisado e encontrado uma maneira de melhorar o processo da produção, para que daqui em diante esses dados fiquem menos dispersos,obtendo um padrão e uma qualidade contínua.</t>
  </si>
  <si>
    <r>
      <t>Já no retrabalho noturno, a confiança se torna baixa,por seu coeficiente de variação ser alto, de 26%, com uma confiança baixa fica difícil obter uma previsão precisa para um próximo período</t>
    </r>
    <r>
      <rPr>
        <b/>
        <sz val="12"/>
        <color theme="1"/>
        <rFont val="Calibri"/>
        <family val="2"/>
        <scheme val="minor"/>
      </rPr>
      <t>.</t>
    </r>
    <r>
      <rPr>
        <sz val="12"/>
        <color theme="1"/>
        <rFont val="Calibri"/>
        <family val="2"/>
        <scheme val="minor"/>
      </rPr>
      <t>Sua curva é platicúrtica,pois sua cutose é maior que 0,263 e tem a tendência para a esquerda.</t>
    </r>
  </si>
  <si>
    <t>Teste F para as duas amostras de retrabalho</t>
  </si>
  <si>
    <t>A hipótese de os retrabalhos serem semelhantes foi rejeitada,pois o f calculado é maior que o f observado,isso quer dizer que as variâncias são diferentes, então o retrabalho noturno não tem relação com o retrabalho diurno.</t>
  </si>
  <si>
    <t>A hipótese de os retrabalhos serem semelhantes foi rejeitada,pois o t calculado é maior que o t observado,isso quer dizer que as médias são diferentes, então o retrabalho noturno não tem relação com o retrabalho diurno.</t>
  </si>
  <si>
    <t>Fc &lt; Fo aceita Ho</t>
  </si>
  <si>
    <t>Como o f calculado é menor que o f crítico e o p-value é maior que 0,05,a hipótese foi aceita, podemos concluir que essas amostras foram coletadas de uma população que tem a mesma média</t>
  </si>
  <si>
    <t>Nos dois estudos, comparação de variâncias e comparação de médias, a hipótese foi rejeitada, estes conjuntos de dados que representam os retrabalhos diurnos e noturnos não tem relação.</t>
  </si>
  <si>
    <t>A correlação de 89% mostra que existe uma correlação média entre o retrabalho e o sistema de controle,assim,podemos fazer uma previsão para um próximo período com 79% de confiança,de acordo com o coeficiente de determinação,não sendo confiável realizar previsões de mais de um período.A previsão de média do retrabalho para uma produção de 340546, será entre 10612 e 12840.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</si>
</sst>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1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164" fontId="0" fillId="0" borderId="0" xfId="0" applyNumberFormat="1" applyFill="1" applyBorder="1" applyAlignment="1"/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0" fontId="0" fillId="0" borderId="3" xfId="0" applyBorder="1"/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2" fillId="2" borderId="4" xfId="0" applyFont="1" applyFill="1" applyBorder="1"/>
    <xf numFmtId="2" fontId="0" fillId="0" borderId="4" xfId="0" applyNumberFormat="1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2" fontId="0" fillId="0" borderId="4" xfId="0" applyNumberFormat="1" applyFill="1" applyBorder="1" applyAlignment="1"/>
    <xf numFmtId="2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/>
    <xf numFmtId="0" fontId="0" fillId="0" borderId="4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4" xfId="0" applyFill="1" applyBorder="1" applyAlignment="1"/>
    <xf numFmtId="0" fontId="2" fillId="2" borderId="0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Border="1"/>
    <xf numFmtId="1" fontId="0" fillId="0" borderId="5" xfId="0" applyNumberFormat="1" applyBorder="1"/>
    <xf numFmtId="1" fontId="0" fillId="0" borderId="3" xfId="0" applyNumberFormat="1" applyBorder="1"/>
    <xf numFmtId="1" fontId="0" fillId="0" borderId="7" xfId="0" applyNumberFormat="1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4" xfId="0" applyNumberFormat="1" applyBorder="1"/>
    <xf numFmtId="10" fontId="0" fillId="0" borderId="4" xfId="0" applyNumberFormat="1" applyBorder="1"/>
    <xf numFmtId="2" fontId="0" fillId="0" borderId="0" xfId="0" applyNumberFormat="1" applyBorder="1" applyAlignment="1">
      <alignment horizontal="center"/>
    </xf>
    <xf numFmtId="1" fontId="0" fillId="5" borderId="6" xfId="0" applyNumberFormat="1" applyFill="1" applyBorder="1" applyAlignment="1">
      <alignment horizontal="center"/>
    </xf>
    <xf numFmtId="1" fontId="0" fillId="6" borderId="12" xfId="0" applyNumberFormat="1" applyFill="1" applyBorder="1" applyAlignment="1">
      <alignment horizontal="center"/>
    </xf>
    <xf numFmtId="1" fontId="0" fillId="3" borderId="13" xfId="0" applyNumberFormat="1" applyFill="1" applyBorder="1" applyAlignment="1">
      <alignment horizontal="center"/>
    </xf>
    <xf numFmtId="0" fontId="0" fillId="0" borderId="9" xfId="0" applyBorder="1" applyAlignment="1">
      <alignment horizontal="center"/>
    </xf>
    <xf numFmtId="10" fontId="0" fillId="4" borderId="16" xfId="1" applyNumberFormat="1" applyFont="1" applyFill="1" applyBorder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7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/>
    <xf numFmtId="0" fontId="0" fillId="0" borderId="16" xfId="0" applyFill="1" applyBorder="1"/>
    <xf numFmtId="0" fontId="0" fillId="0" borderId="17" xfId="0" applyBorder="1"/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5" borderId="16" xfId="0" applyFill="1" applyBorder="1"/>
    <xf numFmtId="2" fontId="0" fillId="5" borderId="5" xfId="0" applyNumberForma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17" xfId="0" applyFill="1" applyBorder="1"/>
    <xf numFmtId="2" fontId="0" fillId="6" borderId="7" xfId="0" applyNumberForma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3" borderId="9" xfId="0" applyFill="1" applyBorder="1"/>
    <xf numFmtId="2" fontId="0" fillId="3" borderId="11" xfId="0" applyNumberForma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Fill="1" applyBorder="1" applyAlignment="1">
      <alignment horizontal="center"/>
    </xf>
    <xf numFmtId="2" fontId="0" fillId="7" borderId="13" xfId="0" applyNumberFormat="1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6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7" xfId="0" applyBorder="1" applyAlignment="1">
      <alignment horizontal="center"/>
    </xf>
    <xf numFmtId="9" fontId="0" fillId="0" borderId="8" xfId="1" applyFont="1" applyBorder="1"/>
    <xf numFmtId="0" fontId="5" fillId="0" borderId="14" xfId="0" applyFont="1" applyBorder="1"/>
    <xf numFmtId="9" fontId="5" fillId="0" borderId="8" xfId="1" applyFont="1" applyBorder="1"/>
    <xf numFmtId="9" fontId="0" fillId="0" borderId="14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9" fontId="0" fillId="0" borderId="0" xfId="1" applyFont="1" applyFill="1" applyBorder="1" applyAlignment="1"/>
    <xf numFmtId="9" fontId="0" fillId="0" borderId="15" xfId="1" applyFont="1" applyBorder="1"/>
    <xf numFmtId="0" fontId="0" fillId="0" borderId="4" xfId="0" applyFill="1" applyBorder="1" applyAlignment="1">
      <alignment horizontal="center"/>
    </xf>
    <xf numFmtId="0" fontId="2" fillId="2" borderId="16" xfId="0" applyFont="1" applyFill="1" applyBorder="1"/>
    <xf numFmtId="0" fontId="0" fillId="8" borderId="15" xfId="0" applyFill="1" applyBorder="1"/>
    <xf numFmtId="0" fontId="0" fillId="8" borderId="15" xfId="0" applyFill="1" applyBorder="1" applyAlignment="1">
      <alignment horizontal="center"/>
    </xf>
    <xf numFmtId="0" fontId="0" fillId="8" borderId="8" xfId="0" applyFill="1" applyBorder="1"/>
    <xf numFmtId="165" fontId="0" fillId="0" borderId="11" xfId="0" applyNumberFormat="1" applyBorder="1"/>
    <xf numFmtId="0" fontId="0" fillId="0" borderId="0" xfId="0" applyAlignment="1">
      <alignment vertical="center" wrapText="1"/>
    </xf>
    <xf numFmtId="1" fontId="0" fillId="0" borderId="11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17" xfId="0" applyNumberFormat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0" fontId="0" fillId="3" borderId="17" xfId="0" applyNumberFormat="1" applyFill="1" applyBorder="1" applyAlignment="1">
      <alignment horizontal="center"/>
    </xf>
    <xf numFmtId="1" fontId="0" fillId="3" borderId="11" xfId="0" applyNumberFormat="1" applyFill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1" fontId="0" fillId="8" borderId="14" xfId="0" applyNumberFormat="1" applyFill="1" applyBorder="1" applyAlignment="1">
      <alignment horizontal="center"/>
    </xf>
    <xf numFmtId="1" fontId="0" fillId="8" borderId="15" xfId="0" applyNumberFormat="1" applyFill="1" applyBorder="1" applyAlignment="1">
      <alignment horizontal="center"/>
    </xf>
    <xf numFmtId="1" fontId="0" fillId="8" borderId="8" xfId="0" applyNumberFormat="1" applyFill="1" applyBorder="1" applyAlignment="1">
      <alignment horizontal="center"/>
    </xf>
    <xf numFmtId="1" fontId="0" fillId="8" borderId="4" xfId="0" applyNumberFormat="1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0" xfId="0" applyFill="1" applyBorder="1"/>
    <xf numFmtId="0" fontId="0" fillId="8" borderId="9" xfId="0" applyFill="1" applyBorder="1"/>
    <xf numFmtId="0" fontId="0" fillId="8" borderId="17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6" fillId="0" borderId="0" xfId="0" applyFont="1"/>
    <xf numFmtId="0" fontId="6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0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Manhã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'[1]Base dos dados '!$C$6</c:f>
              <c:strCache>
                <c:ptCount val="1"/>
                <c:pt idx="0">
                  <c:v>Saidas retrabalho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311972272247272"/>
                  <c:y val="-4.480320654061410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8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pt-BR" sz="1800" baseline="0"/>
                      <a:t>y = 0,0364x - 1784,3</a:t>
                    </a:r>
                    <a:br>
                      <a:rPr lang="pt-BR" sz="1800" baseline="0"/>
                    </a:br>
                    <a:r>
                      <a:rPr lang="pt-BR" sz="1800" baseline="0"/>
                      <a:t>R² = 0,7912</a:t>
                    </a:r>
                    <a:endParaRPr lang="pt-BR" sz="18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'[1]Base dos dados '!$B$7:$B$81</c:f>
              <c:numCache>
                <c:formatCode>0</c:formatCode>
                <c:ptCount val="75"/>
                <c:pt idx="0">
                  <c:v>183134</c:v>
                </c:pt>
                <c:pt idx="1">
                  <c:v>164433.79864965202</c:v>
                </c:pt>
                <c:pt idx="2">
                  <c:v>182921.48527294918</c:v>
                </c:pt>
                <c:pt idx="3">
                  <c:v>172593.06140494297</c:v>
                </c:pt>
                <c:pt idx="4">
                  <c:v>172055.79851845934</c:v>
                </c:pt>
                <c:pt idx="5">
                  <c:v>250111.25147521828</c:v>
                </c:pt>
                <c:pt idx="6">
                  <c:v>220948.2795532078</c:v>
                </c:pt>
                <c:pt idx="7">
                  <c:v>250668.03263590977</c:v>
                </c:pt>
                <c:pt idx="8">
                  <c:v>180844.29175488729</c:v>
                </c:pt>
                <c:pt idx="9">
                  <c:v>177842.27651175618</c:v>
                </c:pt>
                <c:pt idx="10">
                  <c:v>201763.84112535248</c:v>
                </c:pt>
                <c:pt idx="11">
                  <c:v>189226.96721060161</c:v>
                </c:pt>
                <c:pt idx="12">
                  <c:v>236530.22776063572</c:v>
                </c:pt>
                <c:pt idx="13">
                  <c:v>206219.54886611365</c:v>
                </c:pt>
                <c:pt idx="14">
                  <c:v>212537.19922247721</c:v>
                </c:pt>
                <c:pt idx="15">
                  <c:v>189226.96721060161</c:v>
                </c:pt>
                <c:pt idx="16">
                  <c:v>233506.07753788237</c:v>
                </c:pt>
                <c:pt idx="17">
                  <c:v>204882.90255328876</c:v>
                </c:pt>
                <c:pt idx="18">
                  <c:v>297830.81770406297</c:v>
                </c:pt>
                <c:pt idx="19">
                  <c:v>263103.74435976922</c:v>
                </c:pt>
                <c:pt idx="20">
                  <c:v>298493.82901360176</c:v>
                </c:pt>
                <c:pt idx="21">
                  <c:v>233748.41170488045</c:v>
                </c:pt>
                <c:pt idx="22">
                  <c:v>265031.77529968997</c:v>
                </c:pt>
                <c:pt idx="23">
                  <c:v>300572.53636737843</c:v>
                </c:pt>
                <c:pt idx="24">
                  <c:v>267202.9733798721</c:v>
                </c:pt>
                <c:pt idx="25">
                  <c:v>280563.12204886571</c:v>
                </c:pt>
                <c:pt idx="26">
                  <c:v>280596.78962351155</c:v>
                </c:pt>
                <c:pt idx="27">
                  <c:v>265248.14523110545</c:v>
                </c:pt>
                <c:pt idx="28">
                  <c:v>289067.42867285875</c:v>
                </c:pt>
                <c:pt idx="29">
                  <c:v>291928.53136163409</c:v>
                </c:pt>
                <c:pt idx="30">
                  <c:v>277034.33769156353</c:v>
                </c:pt>
                <c:pt idx="31">
                  <c:v>301967.42808380426</c:v>
                </c:pt>
                <c:pt idx="32">
                  <c:v>269928.08002925647</c:v>
                </c:pt>
                <c:pt idx="33">
                  <c:v>291522.326431597</c:v>
                </c:pt>
                <c:pt idx="34">
                  <c:v>269133.41176165035</c:v>
                </c:pt>
                <c:pt idx="35">
                  <c:v>285262.57712852606</c:v>
                </c:pt>
                <c:pt idx="36">
                  <c:v>285262.57712852606</c:v>
                </c:pt>
                <c:pt idx="37">
                  <c:v>299525.70598495239</c:v>
                </c:pt>
                <c:pt idx="38">
                  <c:v>294763.24725979165</c:v>
                </c:pt>
                <c:pt idx="39">
                  <c:v>312428.40866807097</c:v>
                </c:pt>
                <c:pt idx="40">
                  <c:v>312428.40866807097</c:v>
                </c:pt>
                <c:pt idx="41">
                  <c:v>328049.82910147455</c:v>
                </c:pt>
                <c:pt idx="42">
                  <c:v>294588.74653312413</c:v>
                </c:pt>
                <c:pt idx="43">
                  <c:v>314501.99128420005</c:v>
                </c:pt>
                <c:pt idx="44">
                  <c:v>273374.85758456209</c:v>
                </c:pt>
                <c:pt idx="45">
                  <c:v>287517.07111611567</c:v>
                </c:pt>
                <c:pt idx="46">
                  <c:v>268610.52355366212</c:v>
                </c:pt>
                <c:pt idx="47">
                  <c:v>294626.62910468713</c:v>
                </c:pt>
                <c:pt idx="48">
                  <c:v>275254.92824105395</c:v>
                </c:pt>
                <c:pt idx="49">
                  <c:v>247178.92556046645</c:v>
                </c:pt>
                <c:pt idx="50">
                  <c:v>287043.60046379024</c:v>
                </c:pt>
                <c:pt idx="51">
                  <c:v>257798.30046660124</c:v>
                </c:pt>
                <c:pt idx="52">
                  <c:v>316695.74796235515</c:v>
                </c:pt>
                <c:pt idx="53">
                  <c:v>295870.46896784659</c:v>
                </c:pt>
                <c:pt idx="54">
                  <c:v>306098.44275317685</c:v>
                </c:pt>
                <c:pt idx="55">
                  <c:v>285972.47014215548</c:v>
                </c:pt>
                <c:pt idx="56">
                  <c:v>256803.27818765561</c:v>
                </c:pt>
                <c:pt idx="57">
                  <c:v>270688.21548993129</c:v>
                </c:pt>
                <c:pt idx="58">
                  <c:v>267836.13740902976</c:v>
                </c:pt>
                <c:pt idx="59">
                  <c:v>309464.25417211023</c:v>
                </c:pt>
                <c:pt idx="60">
                  <c:v>254763.97153315638</c:v>
                </c:pt>
                <c:pt idx="61">
                  <c:v>249968.5361512581</c:v>
                </c:pt>
                <c:pt idx="62">
                  <c:v>265779.13970889157</c:v>
                </c:pt>
                <c:pt idx="63">
                  <c:v>283552.35068321472</c:v>
                </c:pt>
                <c:pt idx="64">
                  <c:v>240589.85955897733</c:v>
                </c:pt>
                <c:pt idx="65">
                  <c:v>261249.72337209544</c:v>
                </c:pt>
                <c:pt idx="66">
                  <c:v>281568.9431068069</c:v>
                </c:pt>
                <c:pt idx="67">
                  <c:v>248108.3068478129</c:v>
                </c:pt>
                <c:pt idx="68">
                  <c:v>311910.01942960691</c:v>
                </c:pt>
                <c:pt idx="69">
                  <c:v>256777.42821526845</c:v>
                </c:pt>
                <c:pt idx="70">
                  <c:v>210299.59624050208</c:v>
                </c:pt>
                <c:pt idx="71">
                  <c:v>287990.80674905924</c:v>
                </c:pt>
                <c:pt idx="72">
                  <c:v>280214.89228931873</c:v>
                </c:pt>
                <c:pt idx="73">
                  <c:v>237758.07684112416</c:v>
                </c:pt>
                <c:pt idx="74">
                  <c:v>263314.43840247416</c:v>
                </c:pt>
              </c:numCache>
            </c:numRef>
          </c:xVal>
          <c:yVal>
            <c:numRef>
              <c:f>'[1]Base dos dados '!$C$7:$C$81</c:f>
              <c:numCache>
                <c:formatCode>0</c:formatCode>
                <c:ptCount val="75"/>
                <c:pt idx="0">
                  <c:v>4212.0820000000003</c:v>
                </c:pt>
                <c:pt idx="1">
                  <c:v>3782.4496360000003</c:v>
                </c:pt>
                <c:pt idx="2">
                  <c:v>4207.194161277831</c:v>
                </c:pt>
                <c:pt idx="3">
                  <c:v>3696.8615095148302</c:v>
                </c:pt>
                <c:pt idx="4">
                  <c:v>3957.2833659245648</c:v>
                </c:pt>
                <c:pt idx="5">
                  <c:v>7503.3375442565484</c:v>
                </c:pt>
                <c:pt idx="6">
                  <c:v>6320.8115472817162</c:v>
                </c:pt>
                <c:pt idx="7">
                  <c:v>7770.7090117132029</c:v>
                </c:pt>
                <c:pt idx="8">
                  <c:v>4159.4187103624081</c:v>
                </c:pt>
                <c:pt idx="9">
                  <c:v>3637.494850586133</c:v>
                </c:pt>
                <c:pt idx="10">
                  <c:v>6658.2067571366324</c:v>
                </c:pt>
                <c:pt idx="11">
                  <c:v>5393.1474732806728</c:v>
                </c:pt>
                <c:pt idx="12">
                  <c:v>8278.557971622251</c:v>
                </c:pt>
                <c:pt idx="13">
                  <c:v>7237.1153787921712</c:v>
                </c:pt>
                <c:pt idx="14">
                  <c:v>6600.2492254584604</c:v>
                </c:pt>
                <c:pt idx="15">
                  <c:v>5903.8813769707695</c:v>
                </c:pt>
                <c:pt idx="16">
                  <c:v>8172.7127138258838</c:v>
                </c:pt>
                <c:pt idx="17">
                  <c:v>7202.6934418218898</c:v>
                </c:pt>
                <c:pt idx="18">
                  <c:v>9927.6839957748434</c:v>
                </c:pt>
                <c:pt idx="19">
                  <c:v>8912.8539989914279</c:v>
                </c:pt>
                <c:pt idx="20">
                  <c:v>10519.85383518585</c:v>
                </c:pt>
                <c:pt idx="21">
                  <c:v>8279.1249682912639</c:v>
                </c:pt>
                <c:pt idx="22">
                  <c:v>8693.0812167058284</c:v>
                </c:pt>
                <c:pt idx="23">
                  <c:v>10046.469969863911</c:v>
                </c:pt>
                <c:pt idx="24">
                  <c:v>8148.8023037262865</c:v>
                </c:pt>
                <c:pt idx="25">
                  <c:v>9294.7756703568721</c:v>
                </c:pt>
                <c:pt idx="26">
                  <c:v>9285.2949991731075</c:v>
                </c:pt>
                <c:pt idx="27">
                  <c:v>8355.8174321374208</c:v>
                </c:pt>
                <c:pt idx="28">
                  <c:v>8989.9970317259067</c:v>
                </c:pt>
                <c:pt idx="29">
                  <c:v>9299.7204094629269</c:v>
                </c:pt>
                <c:pt idx="30">
                  <c:v>8028.4551063015106</c:v>
                </c:pt>
                <c:pt idx="31">
                  <c:v>8749.4103748473863</c:v>
                </c:pt>
                <c:pt idx="32">
                  <c:v>7299.1518581645578</c:v>
                </c:pt>
                <c:pt idx="33">
                  <c:v>8027.9064788355663</c:v>
                </c:pt>
                <c:pt idx="34">
                  <c:v>7266.6021175645592</c:v>
                </c:pt>
                <c:pt idx="35">
                  <c:v>8557.8773138557808</c:v>
                </c:pt>
                <c:pt idx="36">
                  <c:v>8463.6533730547653</c:v>
                </c:pt>
                <c:pt idx="37">
                  <c:v>9285.2968855335239</c:v>
                </c:pt>
                <c:pt idx="38">
                  <c:v>8842.8974177937489</c:v>
                </c:pt>
                <c:pt idx="39">
                  <c:v>10414.269874655411</c:v>
                </c:pt>
                <c:pt idx="40">
                  <c:v>10249.10996871325</c:v>
                </c:pt>
                <c:pt idx="41">
                  <c:v>10786.307843524384</c:v>
                </c:pt>
                <c:pt idx="42">
                  <c:v>9707.6662728641022</c:v>
                </c:pt>
                <c:pt idx="43">
                  <c:v>9848.0323032812848</c:v>
                </c:pt>
                <c:pt idx="44">
                  <c:v>6670.3465250633153</c:v>
                </c:pt>
                <c:pt idx="45">
                  <c:v>8625.5121334834694</c:v>
                </c:pt>
                <c:pt idx="46">
                  <c:v>7869.1763390980514</c:v>
                </c:pt>
                <c:pt idx="47">
                  <c:v>8276.3271755168553</c:v>
                </c:pt>
                <c:pt idx="48">
                  <c:v>7440.3337122524626</c:v>
                </c:pt>
                <c:pt idx="49">
                  <c:v>6184.4797849613697</c:v>
                </c:pt>
                <c:pt idx="50">
                  <c:v>8037.2208129861265</c:v>
                </c:pt>
                <c:pt idx="51">
                  <c:v>6702.7558121316324</c:v>
                </c:pt>
                <c:pt idx="52">
                  <c:v>8914.6652301350714</c:v>
                </c:pt>
                <c:pt idx="53">
                  <c:v>8574.3261906881944</c:v>
                </c:pt>
                <c:pt idx="54">
                  <c:v>8870.7328709870653</c:v>
                </c:pt>
                <c:pt idx="55">
                  <c:v>8287.4821847196654</c:v>
                </c:pt>
                <c:pt idx="56">
                  <c:v>7442.159001878259</c:v>
                </c:pt>
                <c:pt idx="57">
                  <c:v>7844.5444848982088</c:v>
                </c:pt>
                <c:pt idx="58">
                  <c:v>7761.8912621136824</c:v>
                </c:pt>
                <c:pt idx="59">
                  <c:v>8968.2740859077549</c:v>
                </c:pt>
                <c:pt idx="60">
                  <c:v>7383.0598950308713</c:v>
                </c:pt>
                <c:pt idx="61">
                  <c:v>7244.0881776634596</c:v>
                </c:pt>
                <c:pt idx="62">
                  <c:v>7702.279468763677</c:v>
                </c:pt>
                <c:pt idx="63">
                  <c:v>8217.3471227995633</c:v>
                </c:pt>
                <c:pt idx="64">
                  <c:v>6972.2941300191624</c:v>
                </c:pt>
                <c:pt idx="65">
                  <c:v>7571.0169833233258</c:v>
                </c:pt>
                <c:pt idx="66">
                  <c:v>8159.8679712352632</c:v>
                </c:pt>
                <c:pt idx="67">
                  <c:v>6618.4689114689227</c:v>
                </c:pt>
                <c:pt idx="68">
                  <c:v>10293.030641177029</c:v>
                </c:pt>
                <c:pt idx="69">
                  <c:v>8005.6824930027469</c:v>
                </c:pt>
                <c:pt idx="70">
                  <c:v>6226.6357123601983</c:v>
                </c:pt>
                <c:pt idx="71">
                  <c:v>7038.4953169470073</c:v>
                </c:pt>
                <c:pt idx="72">
                  <c:v>7284.1861250608408</c:v>
                </c:pt>
                <c:pt idx="73">
                  <c:v>5810.8073979970741</c:v>
                </c:pt>
                <c:pt idx="74">
                  <c:v>6844.858826272316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AA-45B6-AA7A-31209C555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764272"/>
        <c:axId val="667759024"/>
      </c:scatterChart>
      <c:valAx>
        <c:axId val="667764272"/>
        <c:scaling>
          <c:orientation val="minMax"/>
          <c:min val="15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/>
                  <a:t>Sistema controle A1c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7759024"/>
        <c:crosses val="autoZero"/>
        <c:crossBetween val="midCat"/>
      </c:valAx>
      <c:valAx>
        <c:axId val="66775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/>
                  <a:t>Saidas</a:t>
                </a:r>
                <a:r>
                  <a:rPr lang="pt-BR"/>
                  <a:t> retrabalho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7764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Noite</a:t>
            </a:r>
          </a:p>
        </c:rich>
      </c:tx>
      <c:layout>
        <c:manualLayout>
          <c:xMode val="edge"/>
          <c:yMode val="edge"/>
          <c:x val="0.4510203539732631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'[1]Base dos dados '!$I$6</c:f>
              <c:strCache>
                <c:ptCount val="1"/>
                <c:pt idx="0">
                  <c:v>Saidas retrabalho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417759912054727"/>
                  <c:y val="-0.2268332458079860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800" baseline="0"/>
                      <a:t>y = 0,0369x + 1229,4</a:t>
                    </a:r>
                    <a:br>
                      <a:rPr lang="en-US" sz="1800" baseline="0"/>
                    </a:br>
                    <a:r>
                      <a:rPr lang="en-US" sz="1800" baseline="0"/>
                      <a:t>R² = 0,5861</a:t>
                    </a:r>
                    <a:endParaRPr lang="en-US" sz="18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'[1]Base dos dados '!$H$7:$H$81</c:f>
              <c:numCache>
                <c:formatCode>0</c:formatCode>
                <c:ptCount val="75"/>
                <c:pt idx="0">
                  <c:v>142026.48056674001</c:v>
                </c:pt>
                <c:pt idx="1">
                  <c:v>132428.33101003972</c:v>
                </c:pt>
                <c:pt idx="2">
                  <c:v>141861.66835954948</c:v>
                </c:pt>
                <c:pt idx="3">
                  <c:v>132274.65681181115</c:v>
                </c:pt>
                <c:pt idx="4">
                  <c:v>133434.96851855417</c:v>
                </c:pt>
                <c:pt idx="5">
                  <c:v>124417.43334607029</c:v>
                </c:pt>
                <c:pt idx="6">
                  <c:v>171352.70639104868</c:v>
                </c:pt>
                <c:pt idx="7">
                  <c:v>159772.69049314162</c:v>
                </c:pt>
                <c:pt idx="8">
                  <c:v>140250.7360104151</c:v>
                </c:pt>
                <c:pt idx="9">
                  <c:v>130772.59127083125</c:v>
                </c:pt>
                <c:pt idx="10">
                  <c:v>156474.53919349052</c:v>
                </c:pt>
                <c:pt idx="11">
                  <c:v>145899.98983479443</c:v>
                </c:pt>
                <c:pt idx="12">
                  <c:v>167033.91052188483</c:v>
                </c:pt>
                <c:pt idx="13">
                  <c:v>161876.85395405363</c:v>
                </c:pt>
                <c:pt idx="14">
                  <c:v>154096.84967230732</c:v>
                </c:pt>
                <c:pt idx="15">
                  <c:v>172800.78968943501</c:v>
                </c:pt>
                <c:pt idx="16">
                  <c:v>167465.68471218811</c:v>
                </c:pt>
                <c:pt idx="17">
                  <c:v>160303.82043124468</c:v>
                </c:pt>
                <c:pt idx="18">
                  <c:v>178766.77151362071</c:v>
                </c:pt>
                <c:pt idx="19">
                  <c:v>194837.5467391522</c:v>
                </c:pt>
                <c:pt idx="20">
                  <c:v>178439.15194045182</c:v>
                </c:pt>
                <c:pt idx="21">
                  <c:v>165617.12601605381</c:v>
                </c:pt>
                <c:pt idx="22">
                  <c:v>184797.27986885852</c:v>
                </c:pt>
                <c:pt idx="23">
                  <c:v>201410.18573450917</c:v>
                </c:pt>
                <c:pt idx="24">
                  <c:v>184353.55709937602</c:v>
                </c:pt>
                <c:pt idx="25">
                  <c:v>196153.33896921034</c:v>
                </c:pt>
                <c:pt idx="26">
                  <c:v>168751.7508226569</c:v>
                </c:pt>
                <c:pt idx="27">
                  <c:v>183922.19571811211</c:v>
                </c:pt>
                <c:pt idx="28">
                  <c:v>218344.36236013609</c:v>
                </c:pt>
                <c:pt idx="29">
                  <c:v>227510.72481633993</c:v>
                </c:pt>
                <c:pt idx="30">
                  <c:v>257961.25607840851</c:v>
                </c:pt>
                <c:pt idx="31">
                  <c:v>231788.88958760811</c:v>
                </c:pt>
                <c:pt idx="32">
                  <c:v>220270.77760135158</c:v>
                </c:pt>
                <c:pt idx="33">
                  <c:v>269458.77758864395</c:v>
                </c:pt>
                <c:pt idx="34">
                  <c:v>299199.35420596862</c:v>
                </c:pt>
                <c:pt idx="35">
                  <c:v>239471.58360094746</c:v>
                </c:pt>
                <c:pt idx="36">
                  <c:v>260883.94082904977</c:v>
                </c:pt>
                <c:pt idx="37">
                  <c:v>271836.16663782799</c:v>
                </c:pt>
                <c:pt idx="38">
                  <c:v>354365.23840682564</c:v>
                </c:pt>
                <c:pt idx="39">
                  <c:v>283624.95981856959</c:v>
                </c:pt>
                <c:pt idx="40">
                  <c:v>302589.26400573214</c:v>
                </c:pt>
                <c:pt idx="41">
                  <c:v>255635.17539641022</c:v>
                </c:pt>
                <c:pt idx="42">
                  <c:v>247928.20600076421</c:v>
                </c:pt>
                <c:pt idx="43">
                  <c:v>237688.08096320636</c:v>
                </c:pt>
                <c:pt idx="44">
                  <c:v>256177.47906469239</c:v>
                </c:pt>
                <c:pt idx="45">
                  <c:v>218071.61702652543</c:v>
                </c:pt>
                <c:pt idx="46">
                  <c:v>236416.67373726488</c:v>
                </c:pt>
                <c:pt idx="47">
                  <c:v>258028.79853362645</c:v>
                </c:pt>
                <c:pt idx="48">
                  <c:v>220651.51184574899</c:v>
                </c:pt>
                <c:pt idx="49">
                  <c:v>242842.52684625747</c:v>
                </c:pt>
                <c:pt idx="50">
                  <c:v>206720.21094718305</c:v>
                </c:pt>
                <c:pt idx="51">
                  <c:v>224110.3419729039</c:v>
                </c:pt>
                <c:pt idx="52">
                  <c:v>244597.4785284937</c:v>
                </c:pt>
                <c:pt idx="53">
                  <c:v>278808.77374752163</c:v>
                </c:pt>
                <c:pt idx="54">
                  <c:v>219341.71934998027</c:v>
                </c:pt>
                <c:pt idx="55">
                  <c:v>208649.27114927938</c:v>
                </c:pt>
                <c:pt idx="56">
                  <c:v>254472.57967598236</c:v>
                </c:pt>
                <c:pt idx="57">
                  <c:v>282922.30353795906</c:v>
                </c:pt>
                <c:pt idx="58">
                  <c:v>248259.45743352969</c:v>
                </c:pt>
                <c:pt idx="59">
                  <c:v>270811.59480624896</c:v>
                </c:pt>
                <c:pt idx="60">
                  <c:v>277338.15424107958</c:v>
                </c:pt>
                <c:pt idx="61">
                  <c:v>267193.95657340362</c:v>
                </c:pt>
                <c:pt idx="62">
                  <c:v>248680.5000630634</c:v>
                </c:pt>
                <c:pt idx="63">
                  <c:v>242463.99069788077</c:v>
                </c:pt>
                <c:pt idx="64">
                  <c:v>247064.12605768899</c:v>
                </c:pt>
                <c:pt idx="65">
                  <c:v>238027.26151887691</c:v>
                </c:pt>
                <c:pt idx="66">
                  <c:v>234855.73920328115</c:v>
                </c:pt>
                <c:pt idx="67">
                  <c:v>215996.80046243881</c:v>
                </c:pt>
                <c:pt idx="68">
                  <c:v>221202.3233535836</c:v>
                </c:pt>
                <c:pt idx="69">
                  <c:v>241110.53245540615</c:v>
                </c:pt>
                <c:pt idx="70">
                  <c:v>270043.79635005491</c:v>
                </c:pt>
                <c:pt idx="71">
                  <c:v>276281.80804574117</c:v>
                </c:pt>
                <c:pt idx="72">
                  <c:v>256942.0814825393</c:v>
                </c:pt>
                <c:pt idx="73">
                  <c:v>234364.58078266858</c:v>
                </c:pt>
                <c:pt idx="74">
                  <c:v>247064.12605768899</c:v>
                </c:pt>
              </c:numCache>
            </c:numRef>
          </c:xVal>
          <c:yVal>
            <c:numRef>
              <c:f>'[1]Base dos dados '!$I$7:$I$81</c:f>
              <c:numCache>
                <c:formatCode>0</c:formatCode>
                <c:ptCount val="75"/>
                <c:pt idx="0">
                  <c:v>6474.1004847173872</c:v>
                </c:pt>
                <c:pt idx="1">
                  <c:v>5748.1595973660269</c:v>
                </c:pt>
                <c:pt idx="2">
                  <c:v>6259.7458015316033</c:v>
                </c:pt>
                <c:pt idx="3">
                  <c:v>5210.6124051949064</c:v>
                </c:pt>
                <c:pt idx="4">
                  <c:v>5432.0634324156899</c:v>
                </c:pt>
                <c:pt idx="5">
                  <c:v>4204.9603030329854</c:v>
                </c:pt>
                <c:pt idx="6">
                  <c:v>7810.9000172163314</c:v>
                </c:pt>
                <c:pt idx="7">
                  <c:v>8142.8632679480252</c:v>
                </c:pt>
                <c:pt idx="8">
                  <c:v>4784.5500979551543</c:v>
                </c:pt>
                <c:pt idx="9">
                  <c:v>4982.6481124676293</c:v>
                </c:pt>
                <c:pt idx="10">
                  <c:v>6802.6964224274852</c:v>
                </c:pt>
                <c:pt idx="11">
                  <c:v>6542.0603371806783</c:v>
                </c:pt>
                <c:pt idx="12">
                  <c:v>7210.2418058923959</c:v>
                </c:pt>
                <c:pt idx="13">
                  <c:v>8414.2893292585377</c:v>
                </c:pt>
                <c:pt idx="14">
                  <c:v>8409.2893292585377</c:v>
                </c:pt>
                <c:pt idx="15">
                  <c:v>7992.4253336164384</c:v>
                </c:pt>
                <c:pt idx="16">
                  <c:v>7555.5993270076315</c:v>
                </c:pt>
                <c:pt idx="17">
                  <c:v>6951.1513808470208</c:v>
                </c:pt>
                <c:pt idx="18">
                  <c:v>8585.3670704841552</c:v>
                </c:pt>
                <c:pt idx="19">
                  <c:v>9331.4354689092288</c:v>
                </c:pt>
                <c:pt idx="20">
                  <c:v>8501.9641700778866</c:v>
                </c:pt>
                <c:pt idx="21">
                  <c:v>7602.5413805253465</c:v>
                </c:pt>
                <c:pt idx="22">
                  <c:v>9080.4198547955693</c:v>
                </c:pt>
                <c:pt idx="23">
                  <c:v>9926.98739785816</c:v>
                </c:pt>
                <c:pt idx="24">
                  <c:v>9056.7876825619132</c:v>
                </c:pt>
                <c:pt idx="25">
                  <c:v>9760.5000854969749</c:v>
                </c:pt>
                <c:pt idx="26">
                  <c:v>8865.4622276569025</c:v>
                </c:pt>
                <c:pt idx="27">
                  <c:v>8892.8892328971488</c:v>
                </c:pt>
                <c:pt idx="28">
                  <c:v>10257.886646887186</c:v>
                </c:pt>
                <c:pt idx="29">
                  <c:v>11006.740122791902</c:v>
                </c:pt>
                <c:pt idx="30">
                  <c:v>13096.162037917828</c:v>
                </c:pt>
                <c:pt idx="31">
                  <c:v>11262.663552239976</c:v>
                </c:pt>
                <c:pt idx="32">
                  <c:v>9270.6362497552909</c:v>
                </c:pt>
                <c:pt idx="33">
                  <c:v>13520.6623438311</c:v>
                </c:pt>
                <c:pt idx="34">
                  <c:v>14769.147500618177</c:v>
                </c:pt>
                <c:pt idx="35">
                  <c:v>10030.828422235225</c:v>
                </c:pt>
                <c:pt idx="36">
                  <c:v>11422.458676978098</c:v>
                </c:pt>
                <c:pt idx="37">
                  <c:v>11930.072740583006</c:v>
                </c:pt>
                <c:pt idx="38">
                  <c:v>18164.574511010294</c:v>
                </c:pt>
                <c:pt idx="39">
                  <c:v>12293.838379514571</c:v>
                </c:pt>
                <c:pt idx="40">
                  <c:v>12581.637135979006</c:v>
                </c:pt>
                <c:pt idx="41">
                  <c:v>10329.524088638764</c:v>
                </c:pt>
                <c:pt idx="42">
                  <c:v>10327.524088638764</c:v>
                </c:pt>
                <c:pt idx="43">
                  <c:v>11513.820949454926</c:v>
                </c:pt>
                <c:pt idx="44">
                  <c:v>10376.89200280234</c:v>
                </c:pt>
                <c:pt idx="45">
                  <c:v>10257.886646887186</c:v>
                </c:pt>
                <c:pt idx="46">
                  <c:v>11262.663552239976</c:v>
                </c:pt>
                <c:pt idx="47">
                  <c:v>10869.871036272876</c:v>
                </c:pt>
                <c:pt idx="48">
                  <c:v>10282.81331143912</c:v>
                </c:pt>
                <c:pt idx="49">
                  <c:v>9565.4865119201313</c:v>
                </c:pt>
                <c:pt idx="50">
                  <c:v>10257.886646887186</c:v>
                </c:pt>
                <c:pt idx="51">
                  <c:v>10625.570327549322</c:v>
                </c:pt>
                <c:pt idx="52">
                  <c:v>10979.755650948622</c:v>
                </c:pt>
                <c:pt idx="53">
                  <c:v>12218.822031874341</c:v>
                </c:pt>
                <c:pt idx="54">
                  <c:v>10257.886646887186</c:v>
                </c:pt>
                <c:pt idx="55">
                  <c:v>10257.886646887186</c:v>
                </c:pt>
                <c:pt idx="56">
                  <c:v>10979.755650948622</c:v>
                </c:pt>
                <c:pt idx="57">
                  <c:v>10359.720017765114</c:v>
                </c:pt>
                <c:pt idx="58">
                  <c:v>9562.4865119201313</c:v>
                </c:pt>
                <c:pt idx="59">
                  <c:v>9147.6327756865958</c:v>
                </c:pt>
                <c:pt idx="60">
                  <c:v>9459.5670533375087</c:v>
                </c:pt>
                <c:pt idx="61">
                  <c:v>9146.6327756865958</c:v>
                </c:pt>
                <c:pt idx="62">
                  <c:v>8630.6827468001156</c:v>
                </c:pt>
                <c:pt idx="63">
                  <c:v>7009.1500723313093</c:v>
                </c:pt>
                <c:pt idx="64">
                  <c:v>7163.3513739225982</c:v>
                </c:pt>
                <c:pt idx="65">
                  <c:v>6318.0759117997313</c:v>
                </c:pt>
                <c:pt idx="66">
                  <c:v>5762.0852315613556</c:v>
                </c:pt>
                <c:pt idx="67">
                  <c:v>9447.5136017830991</c:v>
                </c:pt>
                <c:pt idx="68">
                  <c:v>9647.8008901409012</c:v>
                </c:pt>
                <c:pt idx="69">
                  <c:v>10601.003618086823</c:v>
                </c:pt>
                <c:pt idx="70">
                  <c:v>9349.6880233068387</c:v>
                </c:pt>
                <c:pt idx="71">
                  <c:v>9351.6880233068387</c:v>
                </c:pt>
                <c:pt idx="72">
                  <c:v>7294.3166581793348</c:v>
                </c:pt>
                <c:pt idx="73">
                  <c:v>5908.3964931252613</c:v>
                </c:pt>
                <c:pt idx="74">
                  <c:v>10717.614657885777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85-40A9-9785-35DEFB7DE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125592"/>
        <c:axId val="672120016"/>
      </c:scatterChart>
      <c:valAx>
        <c:axId val="672125592"/>
        <c:scaling>
          <c:orientation val="minMax"/>
          <c:min val="12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="0" i="0" baseline="0">
                    <a:effectLst/>
                  </a:rPr>
                  <a:t>Sistema controle A1c</a:t>
                </a:r>
                <a:endParaRPr lang="pt-BR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2120016"/>
        <c:crosses val="autoZero"/>
        <c:crossBetween val="midCat"/>
      </c:valAx>
      <c:valAx>
        <c:axId val="672120016"/>
        <c:scaling>
          <c:orientation val="minMax"/>
          <c:max val="22000"/>
          <c:min val="2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="0" i="0" baseline="0">
                    <a:effectLst/>
                  </a:rPr>
                  <a:t>Saidas retrabalho </a:t>
                </a:r>
                <a:endParaRPr lang="pt-BR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2125592"/>
        <c:crosses val="autoZero"/>
        <c:crossBetween val="midCat"/>
        <c:minorUnit val="38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76200</xdr:rowOff>
    </xdr:from>
    <xdr:to>
      <xdr:col>14</xdr:col>
      <xdr:colOff>38100</xdr:colOff>
      <xdr:row>31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84B58A-81BB-4042-9943-DE07CD4D0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41</xdr:row>
      <xdr:rowOff>161924</xdr:rowOff>
    </xdr:from>
    <xdr:to>
      <xdr:col>14</xdr:col>
      <xdr:colOff>9525</xdr:colOff>
      <xdr:row>65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5735820-CF2A-46A9-A60A-BC7197493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568325</xdr:colOff>
      <xdr:row>1</xdr:row>
      <xdr:rowOff>19050</xdr:rowOff>
    </xdr:from>
    <xdr:to>
      <xdr:col>19</xdr:col>
      <xdr:colOff>438150</xdr:colOff>
      <xdr:row>24</xdr:row>
      <xdr:rowOff>161925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8D88C22-8625-4DFC-AF15-36EA9FF38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4725" y="314325"/>
          <a:ext cx="5965825" cy="452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19050</xdr:rowOff>
    </xdr:from>
    <xdr:to>
      <xdr:col>9</xdr:col>
      <xdr:colOff>561975</xdr:colOff>
      <xdr:row>24</xdr:row>
      <xdr:rowOff>173831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91E45D1-302D-440C-9506-764DE16A0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"/>
          <a:ext cx="6048375" cy="453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26</xdr:row>
      <xdr:rowOff>19050</xdr:rowOff>
    </xdr:from>
    <xdr:to>
      <xdr:col>9</xdr:col>
      <xdr:colOff>390525</xdr:colOff>
      <xdr:row>49</xdr:row>
      <xdr:rowOff>38100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AA7D280-969E-4B98-89AD-D3503ACF1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5181600"/>
          <a:ext cx="5867400" cy="440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381000</xdr:colOff>
      <xdr:row>26</xdr:row>
      <xdr:rowOff>19050</xdr:rowOff>
    </xdr:from>
    <xdr:to>
      <xdr:col>19</xdr:col>
      <xdr:colOff>381000</xdr:colOff>
      <xdr:row>49</xdr:row>
      <xdr:rowOff>57150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06B8DDF-E403-4B35-B265-F112F21AB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5181600"/>
          <a:ext cx="6096000" cy="441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0</xdr:row>
      <xdr:rowOff>38100</xdr:rowOff>
    </xdr:from>
    <xdr:to>
      <xdr:col>12</xdr:col>
      <xdr:colOff>0</xdr:colOff>
      <xdr:row>31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30005D-D7A9-40C3-B8F1-5AEE2135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" y="38100"/>
          <a:ext cx="7277101" cy="601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ltimo%20trabalho_6_pt_completo_capa_conclusoes_est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os dados "/>
      <sheetName val="Sheet1"/>
      <sheetName val="parte 2 planilha"/>
      <sheetName val="parte 3 final"/>
      <sheetName val="Base teorico para resposta"/>
      <sheetName val="como entregar"/>
    </sheetNames>
    <sheetDataSet>
      <sheetData sheetId="0">
        <row r="6">
          <cell r="C6" t="str">
            <v xml:space="preserve">Saidas retrabalho </v>
          </cell>
          <cell r="I6" t="str">
            <v xml:space="preserve">Saidas retrabalho </v>
          </cell>
        </row>
        <row r="7">
          <cell r="B7">
            <v>183134</v>
          </cell>
          <cell r="C7">
            <v>4212.0820000000003</v>
          </cell>
          <cell r="H7">
            <v>142026.48056674001</v>
          </cell>
          <cell r="I7">
            <v>6474.1004847173872</v>
          </cell>
        </row>
        <row r="8">
          <cell r="B8">
            <v>164433.79864965202</v>
          </cell>
          <cell r="C8">
            <v>3782.4496360000003</v>
          </cell>
          <cell r="H8">
            <v>132428.33101003972</v>
          </cell>
          <cell r="I8">
            <v>5748.1595973660269</v>
          </cell>
        </row>
        <row r="9">
          <cell r="B9">
            <v>182921.48527294918</v>
          </cell>
          <cell r="C9">
            <v>4207.194161277831</v>
          </cell>
          <cell r="H9">
            <v>141861.66835954948</v>
          </cell>
          <cell r="I9">
            <v>6259.7458015316033</v>
          </cell>
        </row>
        <row r="10">
          <cell r="B10">
            <v>172593.06140494297</v>
          </cell>
          <cell r="C10">
            <v>3696.8615095148302</v>
          </cell>
          <cell r="H10">
            <v>132274.65681181115</v>
          </cell>
          <cell r="I10">
            <v>5210.6124051949064</v>
          </cell>
        </row>
        <row r="11">
          <cell r="B11">
            <v>172055.79851845934</v>
          </cell>
          <cell r="C11">
            <v>3957.2833659245648</v>
          </cell>
          <cell r="H11">
            <v>133434.96851855417</v>
          </cell>
          <cell r="I11">
            <v>5432.0634324156899</v>
          </cell>
        </row>
        <row r="12">
          <cell r="B12">
            <v>250111.25147521828</v>
          </cell>
          <cell r="C12">
            <v>7503.3375442565484</v>
          </cell>
          <cell r="H12">
            <v>124417.43334607029</v>
          </cell>
          <cell r="I12">
            <v>4204.9603030329854</v>
          </cell>
        </row>
        <row r="13">
          <cell r="B13">
            <v>220948.2795532078</v>
          </cell>
          <cell r="C13">
            <v>6320.8115472817162</v>
          </cell>
          <cell r="H13">
            <v>171352.70639104868</v>
          </cell>
          <cell r="I13">
            <v>7810.9000172163314</v>
          </cell>
        </row>
        <row r="14">
          <cell r="B14">
            <v>250668.03263590977</v>
          </cell>
          <cell r="C14">
            <v>7770.7090117132029</v>
          </cell>
          <cell r="H14">
            <v>159772.69049314162</v>
          </cell>
          <cell r="I14">
            <v>8142.8632679480252</v>
          </cell>
        </row>
        <row r="15">
          <cell r="B15">
            <v>180844.29175488729</v>
          </cell>
          <cell r="C15">
            <v>4159.4187103624081</v>
          </cell>
          <cell r="H15">
            <v>140250.7360104151</v>
          </cell>
          <cell r="I15">
            <v>4784.5500979551543</v>
          </cell>
        </row>
        <row r="16">
          <cell r="B16">
            <v>177842.27651175618</v>
          </cell>
          <cell r="C16">
            <v>3637.494850586133</v>
          </cell>
          <cell r="H16">
            <v>130772.59127083125</v>
          </cell>
          <cell r="I16">
            <v>4982.6481124676293</v>
          </cell>
        </row>
        <row r="17">
          <cell r="B17">
            <v>201763.84112535248</v>
          </cell>
          <cell r="C17">
            <v>6658.2067571366324</v>
          </cell>
          <cell r="H17">
            <v>156474.53919349052</v>
          </cell>
          <cell r="I17">
            <v>6802.6964224274852</v>
          </cell>
        </row>
        <row r="18">
          <cell r="B18">
            <v>189226.96721060161</v>
          </cell>
          <cell r="C18">
            <v>5393.1474732806728</v>
          </cell>
          <cell r="H18">
            <v>145899.98983479443</v>
          </cell>
          <cell r="I18">
            <v>6542.0603371806783</v>
          </cell>
        </row>
        <row r="19">
          <cell r="B19">
            <v>236530.22776063572</v>
          </cell>
          <cell r="C19">
            <v>8278.557971622251</v>
          </cell>
          <cell r="H19">
            <v>167033.91052188483</v>
          </cell>
          <cell r="I19">
            <v>7210.2418058923959</v>
          </cell>
        </row>
        <row r="20">
          <cell r="B20">
            <v>206219.54886611365</v>
          </cell>
          <cell r="C20">
            <v>7237.1153787921712</v>
          </cell>
          <cell r="H20">
            <v>161876.85395405363</v>
          </cell>
          <cell r="I20">
            <v>8414.2893292585377</v>
          </cell>
        </row>
        <row r="21">
          <cell r="B21">
            <v>212537.19922247721</v>
          </cell>
          <cell r="C21">
            <v>6600.2492254584604</v>
          </cell>
          <cell r="H21">
            <v>154096.84967230732</v>
          </cell>
          <cell r="I21">
            <v>8409.2893292585377</v>
          </cell>
        </row>
        <row r="22">
          <cell r="B22">
            <v>189226.96721060161</v>
          </cell>
          <cell r="C22">
            <v>5903.8813769707695</v>
          </cell>
          <cell r="H22">
            <v>172800.78968943501</v>
          </cell>
          <cell r="I22">
            <v>7992.4253336164384</v>
          </cell>
        </row>
        <row r="23">
          <cell r="B23">
            <v>233506.07753788237</v>
          </cell>
          <cell r="C23">
            <v>8172.7127138258838</v>
          </cell>
          <cell r="H23">
            <v>167465.68471218811</v>
          </cell>
          <cell r="I23">
            <v>7555.5993270076315</v>
          </cell>
        </row>
        <row r="24">
          <cell r="B24">
            <v>204882.90255328876</v>
          </cell>
          <cell r="C24">
            <v>7202.6934418218898</v>
          </cell>
          <cell r="H24">
            <v>160303.82043124468</v>
          </cell>
          <cell r="I24">
            <v>6951.1513808470208</v>
          </cell>
        </row>
        <row r="25">
          <cell r="B25">
            <v>297830.81770406297</v>
          </cell>
          <cell r="C25">
            <v>9927.6839957748434</v>
          </cell>
          <cell r="H25">
            <v>178766.77151362071</v>
          </cell>
          <cell r="I25">
            <v>8585.3670704841552</v>
          </cell>
        </row>
        <row r="26">
          <cell r="B26">
            <v>263103.74435976922</v>
          </cell>
          <cell r="C26">
            <v>8912.8539989914279</v>
          </cell>
          <cell r="H26">
            <v>194837.5467391522</v>
          </cell>
          <cell r="I26">
            <v>9331.4354689092288</v>
          </cell>
        </row>
        <row r="27">
          <cell r="B27">
            <v>298493.82901360176</v>
          </cell>
          <cell r="C27">
            <v>10519.85383518585</v>
          </cell>
          <cell r="H27">
            <v>178439.15194045182</v>
          </cell>
          <cell r="I27">
            <v>8501.9641700778866</v>
          </cell>
        </row>
        <row r="28">
          <cell r="B28">
            <v>233748.41170488045</v>
          </cell>
          <cell r="C28">
            <v>8279.1249682912639</v>
          </cell>
          <cell r="H28">
            <v>165617.12601605381</v>
          </cell>
          <cell r="I28">
            <v>7602.5413805253465</v>
          </cell>
        </row>
        <row r="29">
          <cell r="B29">
            <v>265031.77529968997</v>
          </cell>
          <cell r="C29">
            <v>8693.0812167058284</v>
          </cell>
          <cell r="H29">
            <v>184797.27986885852</v>
          </cell>
          <cell r="I29">
            <v>9080.4198547955693</v>
          </cell>
        </row>
        <row r="30">
          <cell r="B30">
            <v>300572.53636737843</v>
          </cell>
          <cell r="C30">
            <v>10046.469969863911</v>
          </cell>
          <cell r="H30">
            <v>201410.18573450917</v>
          </cell>
          <cell r="I30">
            <v>9926.98739785816</v>
          </cell>
        </row>
        <row r="31">
          <cell r="B31">
            <v>267202.9733798721</v>
          </cell>
          <cell r="C31">
            <v>8148.8023037262865</v>
          </cell>
          <cell r="H31">
            <v>184353.55709937602</v>
          </cell>
          <cell r="I31">
            <v>9056.7876825619132</v>
          </cell>
        </row>
        <row r="32">
          <cell r="B32">
            <v>280563.12204886571</v>
          </cell>
          <cell r="C32">
            <v>9294.7756703568721</v>
          </cell>
          <cell r="H32">
            <v>196153.33896921034</v>
          </cell>
          <cell r="I32">
            <v>9760.5000854969749</v>
          </cell>
        </row>
        <row r="33">
          <cell r="B33">
            <v>280596.78962351155</v>
          </cell>
          <cell r="C33">
            <v>9285.2949991731075</v>
          </cell>
          <cell r="H33">
            <v>168751.7508226569</v>
          </cell>
          <cell r="I33">
            <v>8865.4622276569025</v>
          </cell>
        </row>
        <row r="34">
          <cell r="B34">
            <v>265248.14523110545</v>
          </cell>
          <cell r="C34">
            <v>8355.8174321374208</v>
          </cell>
          <cell r="H34">
            <v>183922.19571811211</v>
          </cell>
          <cell r="I34">
            <v>8892.8892328971488</v>
          </cell>
        </row>
        <row r="35">
          <cell r="B35">
            <v>289067.42867285875</v>
          </cell>
          <cell r="C35">
            <v>8989.9970317259067</v>
          </cell>
          <cell r="H35">
            <v>218344.36236013609</v>
          </cell>
          <cell r="I35">
            <v>10257.886646887186</v>
          </cell>
        </row>
        <row r="36">
          <cell r="B36">
            <v>291928.53136163409</v>
          </cell>
          <cell r="C36">
            <v>9299.7204094629269</v>
          </cell>
          <cell r="H36">
            <v>227510.72481633993</v>
          </cell>
          <cell r="I36">
            <v>11006.740122791902</v>
          </cell>
        </row>
        <row r="37">
          <cell r="B37">
            <v>277034.33769156353</v>
          </cell>
          <cell r="C37">
            <v>8028.4551063015106</v>
          </cell>
          <cell r="H37">
            <v>257961.25607840851</v>
          </cell>
          <cell r="I37">
            <v>13096.162037917828</v>
          </cell>
        </row>
        <row r="38">
          <cell r="B38">
            <v>301967.42808380426</v>
          </cell>
          <cell r="C38">
            <v>8749.4103748473863</v>
          </cell>
          <cell r="H38">
            <v>231788.88958760811</v>
          </cell>
          <cell r="I38">
            <v>11262.663552239976</v>
          </cell>
        </row>
        <row r="39">
          <cell r="B39">
            <v>269928.08002925647</v>
          </cell>
          <cell r="C39">
            <v>7299.1518581645578</v>
          </cell>
          <cell r="H39">
            <v>220270.77760135158</v>
          </cell>
          <cell r="I39">
            <v>9270.6362497552909</v>
          </cell>
        </row>
        <row r="40">
          <cell r="B40">
            <v>291522.326431597</v>
          </cell>
          <cell r="C40">
            <v>8027.9064788355663</v>
          </cell>
          <cell r="H40">
            <v>269458.77758864395</v>
          </cell>
          <cell r="I40">
            <v>13520.6623438311</v>
          </cell>
        </row>
        <row r="41">
          <cell r="B41">
            <v>269133.41176165035</v>
          </cell>
          <cell r="C41">
            <v>7266.6021175645592</v>
          </cell>
          <cell r="H41">
            <v>299199.35420596862</v>
          </cell>
          <cell r="I41">
            <v>14769.147500618177</v>
          </cell>
        </row>
        <row r="42">
          <cell r="B42">
            <v>285262.57712852606</v>
          </cell>
          <cell r="C42">
            <v>8557.8773138557808</v>
          </cell>
          <cell r="H42">
            <v>239471.58360094746</v>
          </cell>
          <cell r="I42">
            <v>10030.828422235225</v>
          </cell>
        </row>
        <row r="43">
          <cell r="B43">
            <v>285262.57712852606</v>
          </cell>
          <cell r="C43">
            <v>8463.6533730547653</v>
          </cell>
          <cell r="H43">
            <v>260883.94082904977</v>
          </cell>
          <cell r="I43">
            <v>11422.458676978098</v>
          </cell>
        </row>
        <row r="44">
          <cell r="B44">
            <v>299525.70598495239</v>
          </cell>
          <cell r="C44">
            <v>9285.2968855335239</v>
          </cell>
          <cell r="H44">
            <v>271836.16663782799</v>
          </cell>
          <cell r="I44">
            <v>11930.072740583006</v>
          </cell>
        </row>
        <row r="45">
          <cell r="B45">
            <v>294763.24725979165</v>
          </cell>
          <cell r="C45">
            <v>8842.8974177937489</v>
          </cell>
          <cell r="H45">
            <v>354365.23840682564</v>
          </cell>
          <cell r="I45">
            <v>18164.574511010294</v>
          </cell>
        </row>
        <row r="46">
          <cell r="B46">
            <v>312428.40866807097</v>
          </cell>
          <cell r="C46">
            <v>10414.269874655411</v>
          </cell>
          <cell r="H46">
            <v>283624.95981856959</v>
          </cell>
          <cell r="I46">
            <v>12293.838379514571</v>
          </cell>
        </row>
        <row r="47">
          <cell r="B47">
            <v>312428.40866807097</v>
          </cell>
          <cell r="C47">
            <v>10249.10996871325</v>
          </cell>
          <cell r="H47">
            <v>302589.26400573214</v>
          </cell>
          <cell r="I47">
            <v>12581.637135979006</v>
          </cell>
        </row>
        <row r="48">
          <cell r="B48">
            <v>328049.82910147455</v>
          </cell>
          <cell r="C48">
            <v>10786.307843524384</v>
          </cell>
          <cell r="H48">
            <v>255635.17539641022</v>
          </cell>
          <cell r="I48">
            <v>10329.524088638764</v>
          </cell>
        </row>
        <row r="49">
          <cell r="B49">
            <v>294588.74653312413</v>
          </cell>
          <cell r="C49">
            <v>9707.6662728641022</v>
          </cell>
          <cell r="H49">
            <v>247928.20600076421</v>
          </cell>
          <cell r="I49">
            <v>10327.524088638764</v>
          </cell>
        </row>
        <row r="50">
          <cell r="B50">
            <v>314501.99128420005</v>
          </cell>
          <cell r="C50">
            <v>9848.0323032812848</v>
          </cell>
          <cell r="H50">
            <v>237688.08096320636</v>
          </cell>
          <cell r="I50">
            <v>11513.820949454926</v>
          </cell>
        </row>
        <row r="51">
          <cell r="B51">
            <v>273374.85758456209</v>
          </cell>
          <cell r="C51">
            <v>6670.3465250633153</v>
          </cell>
          <cell r="H51">
            <v>256177.47906469239</v>
          </cell>
          <cell r="I51">
            <v>10376.89200280234</v>
          </cell>
        </row>
        <row r="52">
          <cell r="B52">
            <v>287517.07111611567</v>
          </cell>
          <cell r="C52">
            <v>8625.5121334834694</v>
          </cell>
          <cell r="H52">
            <v>218071.61702652543</v>
          </cell>
          <cell r="I52">
            <v>10257.886646887186</v>
          </cell>
        </row>
        <row r="53">
          <cell r="B53">
            <v>268610.52355366212</v>
          </cell>
          <cell r="C53">
            <v>7869.1763390980514</v>
          </cell>
          <cell r="H53">
            <v>236416.67373726488</v>
          </cell>
          <cell r="I53">
            <v>11262.663552239976</v>
          </cell>
        </row>
        <row r="54">
          <cell r="B54">
            <v>294626.62910468713</v>
          </cell>
          <cell r="C54">
            <v>8276.3271755168553</v>
          </cell>
          <cell r="H54">
            <v>258028.79853362645</v>
          </cell>
          <cell r="I54">
            <v>10869.871036272876</v>
          </cell>
        </row>
        <row r="55">
          <cell r="B55">
            <v>275254.92824105395</v>
          </cell>
          <cell r="C55">
            <v>7440.3337122524626</v>
          </cell>
          <cell r="H55">
            <v>220651.51184574899</v>
          </cell>
          <cell r="I55">
            <v>10282.81331143912</v>
          </cell>
        </row>
        <row r="56">
          <cell r="B56">
            <v>247178.92556046645</v>
          </cell>
          <cell r="C56">
            <v>6184.4797849613697</v>
          </cell>
          <cell r="H56">
            <v>242842.52684625747</v>
          </cell>
          <cell r="I56">
            <v>9565.4865119201313</v>
          </cell>
        </row>
        <row r="57">
          <cell r="B57">
            <v>287043.60046379024</v>
          </cell>
          <cell r="C57">
            <v>8037.2208129861265</v>
          </cell>
          <cell r="H57">
            <v>206720.21094718305</v>
          </cell>
          <cell r="I57">
            <v>10257.886646887186</v>
          </cell>
        </row>
        <row r="58">
          <cell r="B58">
            <v>257798.30046660124</v>
          </cell>
          <cell r="C58">
            <v>6702.7558121316324</v>
          </cell>
          <cell r="H58">
            <v>224110.3419729039</v>
          </cell>
          <cell r="I58">
            <v>10625.570327549322</v>
          </cell>
        </row>
        <row r="59">
          <cell r="B59">
            <v>316695.74796235515</v>
          </cell>
          <cell r="C59">
            <v>8914.6652301350714</v>
          </cell>
          <cell r="H59">
            <v>244597.4785284937</v>
          </cell>
          <cell r="I59">
            <v>10979.755650948622</v>
          </cell>
        </row>
        <row r="60">
          <cell r="B60">
            <v>295870.46896784659</v>
          </cell>
          <cell r="C60">
            <v>8574.3261906881944</v>
          </cell>
          <cell r="H60">
            <v>278808.77374752163</v>
          </cell>
          <cell r="I60">
            <v>12218.822031874341</v>
          </cell>
        </row>
        <row r="61">
          <cell r="B61">
            <v>306098.44275317685</v>
          </cell>
          <cell r="C61">
            <v>8870.7328709870653</v>
          </cell>
          <cell r="H61">
            <v>219341.71934998027</v>
          </cell>
          <cell r="I61">
            <v>10257.886646887186</v>
          </cell>
        </row>
        <row r="62">
          <cell r="B62">
            <v>285972.47014215548</v>
          </cell>
          <cell r="C62">
            <v>8287.4821847196654</v>
          </cell>
          <cell r="H62">
            <v>208649.27114927938</v>
          </cell>
          <cell r="I62">
            <v>10257.886646887186</v>
          </cell>
        </row>
        <row r="63">
          <cell r="B63">
            <v>256803.27818765561</v>
          </cell>
          <cell r="C63">
            <v>7442.159001878259</v>
          </cell>
          <cell r="H63">
            <v>254472.57967598236</v>
          </cell>
          <cell r="I63">
            <v>10979.755650948622</v>
          </cell>
        </row>
        <row r="64">
          <cell r="B64">
            <v>270688.21548993129</v>
          </cell>
          <cell r="C64">
            <v>7844.5444848982088</v>
          </cell>
          <cell r="H64">
            <v>282922.30353795906</v>
          </cell>
          <cell r="I64">
            <v>10359.720017765114</v>
          </cell>
        </row>
        <row r="65">
          <cell r="B65">
            <v>267836.13740902976</v>
          </cell>
          <cell r="C65">
            <v>7761.8912621136824</v>
          </cell>
          <cell r="H65">
            <v>248259.45743352969</v>
          </cell>
          <cell r="I65">
            <v>9562.4865119201313</v>
          </cell>
        </row>
        <row r="66">
          <cell r="B66">
            <v>309464.25417211023</v>
          </cell>
          <cell r="C66">
            <v>8968.2740859077549</v>
          </cell>
          <cell r="H66">
            <v>270811.59480624896</v>
          </cell>
          <cell r="I66">
            <v>9147.6327756865958</v>
          </cell>
        </row>
        <row r="67">
          <cell r="B67">
            <v>254763.97153315638</v>
          </cell>
          <cell r="C67">
            <v>7383.0598950308713</v>
          </cell>
          <cell r="H67">
            <v>277338.15424107958</v>
          </cell>
          <cell r="I67">
            <v>9459.5670533375087</v>
          </cell>
        </row>
        <row r="68">
          <cell r="B68">
            <v>249968.5361512581</v>
          </cell>
          <cell r="C68">
            <v>7244.0881776634596</v>
          </cell>
          <cell r="H68">
            <v>267193.95657340362</v>
          </cell>
          <cell r="I68">
            <v>9146.6327756865958</v>
          </cell>
        </row>
        <row r="69">
          <cell r="B69">
            <v>265779.13970889157</v>
          </cell>
          <cell r="C69">
            <v>7702.279468763677</v>
          </cell>
          <cell r="H69">
            <v>248680.5000630634</v>
          </cell>
          <cell r="I69">
            <v>8630.6827468001156</v>
          </cell>
        </row>
        <row r="70">
          <cell r="B70">
            <v>283552.35068321472</v>
          </cell>
          <cell r="C70">
            <v>8217.3471227995633</v>
          </cell>
          <cell r="H70">
            <v>242463.99069788077</v>
          </cell>
          <cell r="I70">
            <v>7009.1500723313093</v>
          </cell>
        </row>
        <row r="71">
          <cell r="B71">
            <v>240589.85955897733</v>
          </cell>
          <cell r="C71">
            <v>6972.2941300191624</v>
          </cell>
          <cell r="H71">
            <v>247064.12605768899</v>
          </cell>
          <cell r="I71">
            <v>7163.3513739225982</v>
          </cell>
        </row>
        <row r="72">
          <cell r="B72">
            <v>261249.72337209544</v>
          </cell>
          <cell r="C72">
            <v>7571.0169833233258</v>
          </cell>
          <cell r="H72">
            <v>238027.26151887691</v>
          </cell>
          <cell r="I72">
            <v>6318.0759117997313</v>
          </cell>
        </row>
        <row r="73">
          <cell r="B73">
            <v>281568.9431068069</v>
          </cell>
          <cell r="C73">
            <v>8159.8679712352632</v>
          </cell>
          <cell r="H73">
            <v>234855.73920328115</v>
          </cell>
          <cell r="I73">
            <v>5762.0852315613556</v>
          </cell>
        </row>
        <row r="74">
          <cell r="B74">
            <v>248108.3068478129</v>
          </cell>
          <cell r="C74">
            <v>6618.4689114689227</v>
          </cell>
          <cell r="H74">
            <v>215996.80046243881</v>
          </cell>
          <cell r="I74">
            <v>9447.5136017830991</v>
          </cell>
        </row>
        <row r="75">
          <cell r="B75">
            <v>311910.01942960691</v>
          </cell>
          <cell r="C75">
            <v>10293.030641177029</v>
          </cell>
          <cell r="H75">
            <v>221202.3233535836</v>
          </cell>
          <cell r="I75">
            <v>9647.8008901409012</v>
          </cell>
        </row>
        <row r="76">
          <cell r="B76">
            <v>256777.42821526845</v>
          </cell>
          <cell r="C76">
            <v>8005.6824930027469</v>
          </cell>
          <cell r="H76">
            <v>241110.53245540615</v>
          </cell>
          <cell r="I76">
            <v>10601.003618086823</v>
          </cell>
        </row>
        <row r="77">
          <cell r="B77">
            <v>210299.59624050208</v>
          </cell>
          <cell r="C77">
            <v>6226.6357123601983</v>
          </cell>
          <cell r="H77">
            <v>270043.79635005491</v>
          </cell>
          <cell r="I77">
            <v>9349.6880233068387</v>
          </cell>
        </row>
        <row r="78">
          <cell r="B78">
            <v>287990.80674905924</v>
          </cell>
          <cell r="C78">
            <v>7038.4953169470073</v>
          </cell>
          <cell r="H78">
            <v>276281.80804574117</v>
          </cell>
          <cell r="I78">
            <v>9351.6880233068387</v>
          </cell>
        </row>
        <row r="79">
          <cell r="B79">
            <v>280214.89228931873</v>
          </cell>
          <cell r="C79">
            <v>7284.1861250608408</v>
          </cell>
          <cell r="H79">
            <v>256942.0814825393</v>
          </cell>
          <cell r="I79">
            <v>7294.3166581793348</v>
          </cell>
        </row>
        <row r="80">
          <cell r="B80">
            <v>237758.07684112416</v>
          </cell>
          <cell r="C80">
            <v>5810.8073979970741</v>
          </cell>
          <cell r="H80">
            <v>234364.58078266858</v>
          </cell>
          <cell r="I80">
            <v>5908.3964931252613</v>
          </cell>
        </row>
        <row r="81">
          <cell r="B81">
            <v>263314.43840247416</v>
          </cell>
          <cell r="C81">
            <v>6844.858826272316</v>
          </cell>
          <cell r="H81">
            <v>247064.12605768899</v>
          </cell>
          <cell r="I81">
            <v>10717.614657885777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workbookViewId="0">
      <selection activeCell="J23" sqref="J23:K36"/>
    </sheetView>
  </sheetViews>
  <sheetFormatPr defaultRowHeight="15" x14ac:dyDescent="0.25"/>
  <cols>
    <col min="1" max="1" width="24.140625" bestFit="1" customWidth="1"/>
    <col min="2" max="2" width="13.7109375" bestFit="1" customWidth="1"/>
    <col min="3" max="3" width="6.28515625" customWidth="1"/>
    <col min="4" max="4" width="24.140625" bestFit="1" customWidth="1"/>
    <col min="5" max="5" width="13.7109375" bestFit="1" customWidth="1"/>
    <col min="6" max="6" width="5.42578125" customWidth="1"/>
    <col min="7" max="7" width="24.140625" bestFit="1" customWidth="1"/>
    <col min="8" max="8" width="17.42578125" customWidth="1"/>
    <col min="9" max="9" width="5.42578125" customWidth="1"/>
    <col min="10" max="10" width="24.140625" bestFit="1" customWidth="1"/>
    <col min="11" max="11" width="13.7109375" bestFit="1" customWidth="1"/>
  </cols>
  <sheetData>
    <row r="1" spans="1:11" x14ac:dyDescent="0.25">
      <c r="A1" s="4" t="s">
        <v>40</v>
      </c>
      <c r="B1" s="4"/>
      <c r="D1" s="4" t="s">
        <v>41</v>
      </c>
      <c r="E1" s="4"/>
      <c r="G1" s="4" t="s">
        <v>42</v>
      </c>
      <c r="H1" s="4"/>
      <c r="J1" s="4" t="s">
        <v>43</v>
      </c>
      <c r="K1" s="4"/>
    </row>
    <row r="2" spans="1:11" x14ac:dyDescent="0.25">
      <c r="A2" s="1"/>
      <c r="B2" s="1"/>
      <c r="D2" s="1"/>
      <c r="E2" s="1"/>
      <c r="G2" s="1"/>
      <c r="H2" s="1"/>
      <c r="J2" s="1"/>
      <c r="K2" s="1"/>
    </row>
    <row r="3" spans="1:11" x14ac:dyDescent="0.25">
      <c r="A3" s="1" t="s">
        <v>1</v>
      </c>
      <c r="B3" s="7">
        <v>260452.14837454056</v>
      </c>
      <c r="D3" s="1" t="s">
        <v>1</v>
      </c>
      <c r="E3" s="7">
        <v>7704.222219682053</v>
      </c>
      <c r="G3" s="1" t="s">
        <v>1</v>
      </c>
      <c r="H3" s="7">
        <v>217328.83304874643</v>
      </c>
      <c r="J3" s="1" t="s">
        <v>1</v>
      </c>
      <c r="K3" s="7">
        <v>9245.0862920512209</v>
      </c>
    </row>
    <row r="4" spans="1:11" x14ac:dyDescent="0.25">
      <c r="A4" s="1" t="s">
        <v>2</v>
      </c>
      <c r="B4" s="7">
        <v>4753.4662307153176</v>
      </c>
      <c r="D4" s="1" t="s">
        <v>2</v>
      </c>
      <c r="E4" s="7">
        <v>194.68717146458431</v>
      </c>
      <c r="G4" s="1" t="s">
        <v>2</v>
      </c>
      <c r="H4" s="7">
        <v>5794.3645102874416</v>
      </c>
      <c r="J4" s="1" t="s">
        <v>2</v>
      </c>
      <c r="K4" s="7">
        <v>279.1620783766374</v>
      </c>
    </row>
    <row r="5" spans="1:11" x14ac:dyDescent="0.25">
      <c r="A5" s="1" t="s">
        <v>3</v>
      </c>
      <c r="B5" s="7">
        <v>268610.52355366212</v>
      </c>
      <c r="D5" s="1" t="s">
        <v>3</v>
      </c>
      <c r="E5" s="7">
        <v>8005.6824930027469</v>
      </c>
      <c r="G5" s="1" t="s">
        <v>3</v>
      </c>
      <c r="H5" s="7">
        <v>224110.3419729039</v>
      </c>
      <c r="J5" s="1" t="s">
        <v>3</v>
      </c>
      <c r="K5" s="7">
        <v>9351.6880233068387</v>
      </c>
    </row>
    <row r="6" spans="1:11" x14ac:dyDescent="0.25">
      <c r="A6" s="1" t="s">
        <v>4</v>
      </c>
      <c r="B6" s="7">
        <v>189226.96721060161</v>
      </c>
      <c r="D6" s="1" t="s">
        <v>4</v>
      </c>
      <c r="E6" s="1" t="e">
        <f>MODE('[1]Base dos dados '!$C$7:$C$81)</f>
        <v>#N/A</v>
      </c>
      <c r="G6" s="1" t="s">
        <v>4</v>
      </c>
      <c r="H6" s="7">
        <v>247064.12605768899</v>
      </c>
      <c r="J6" s="1" t="s">
        <v>4</v>
      </c>
      <c r="K6" s="7">
        <v>10257.886646887186</v>
      </c>
    </row>
    <row r="7" spans="1:11" x14ac:dyDescent="0.25">
      <c r="A7" s="1" t="s">
        <v>5</v>
      </c>
      <c r="B7" s="7">
        <v>41166.225118309267</v>
      </c>
      <c r="D7" s="1" t="s">
        <v>5</v>
      </c>
      <c r="E7" s="7">
        <v>1686.0403627926689</v>
      </c>
      <c r="G7" s="1" t="s">
        <v>5</v>
      </c>
      <c r="H7" s="7">
        <v>50180.668646959035</v>
      </c>
      <c r="J7" s="1" t="s">
        <v>5</v>
      </c>
      <c r="K7" s="7">
        <v>2417.6145164743052</v>
      </c>
    </row>
    <row r="8" spans="1:11" x14ac:dyDescent="0.25">
      <c r="A8" s="1" t="s">
        <v>6</v>
      </c>
      <c r="B8" s="1">
        <v>1694658090.4913166</v>
      </c>
      <c r="D8" s="1" t="s">
        <v>6</v>
      </c>
      <c r="E8" s="7">
        <v>2842732.1049660346</v>
      </c>
      <c r="G8" s="1" t="s">
        <v>6</v>
      </c>
      <c r="H8" s="1">
        <v>2518099505.8558974</v>
      </c>
      <c r="J8" s="1" t="s">
        <v>6</v>
      </c>
      <c r="K8" s="7">
        <v>5844859.9502672888</v>
      </c>
    </row>
    <row r="9" spans="1:11" x14ac:dyDescent="0.25">
      <c r="A9" s="1" t="s">
        <v>7</v>
      </c>
      <c r="B9" s="6">
        <v>-0.28339275070880854</v>
      </c>
      <c r="D9" s="1" t="s">
        <v>7</v>
      </c>
      <c r="E9" s="7">
        <v>0.36306601893082435</v>
      </c>
      <c r="G9" s="1" t="s">
        <v>7</v>
      </c>
      <c r="H9" s="7">
        <v>-0.57371971331746963</v>
      </c>
      <c r="J9" s="1" t="s">
        <v>7</v>
      </c>
      <c r="K9" s="7">
        <v>1.5907105027499253</v>
      </c>
    </row>
    <row r="10" spans="1:11" x14ac:dyDescent="0.25">
      <c r="A10" s="1" t="s">
        <v>8</v>
      </c>
      <c r="B10" s="6">
        <v>-0.77425589164140751</v>
      </c>
      <c r="D10" s="1" t="s">
        <v>8</v>
      </c>
      <c r="E10" s="7">
        <v>-0.68532855401804071</v>
      </c>
      <c r="G10" s="1" t="s">
        <v>8</v>
      </c>
      <c r="H10" s="7">
        <v>-5.6377055562072911E-2</v>
      </c>
      <c r="J10" s="1" t="s">
        <v>8</v>
      </c>
      <c r="K10" s="7">
        <v>0.48508169689945457</v>
      </c>
    </row>
    <row r="11" spans="1:11" x14ac:dyDescent="0.25">
      <c r="A11" s="1" t="s">
        <v>9</v>
      </c>
      <c r="B11" s="7">
        <v>163616.03045182253</v>
      </c>
      <c r="D11" s="1" t="s">
        <v>9</v>
      </c>
      <c r="E11" s="7">
        <v>7148.8129929382512</v>
      </c>
      <c r="G11" s="1" t="s">
        <v>9</v>
      </c>
      <c r="H11" s="7">
        <v>229947.80506075535</v>
      </c>
      <c r="J11" s="1" t="s">
        <v>9</v>
      </c>
      <c r="K11" s="7">
        <v>13959.614207977309</v>
      </c>
    </row>
    <row r="12" spans="1:11" x14ac:dyDescent="0.25">
      <c r="A12" s="1" t="s">
        <v>10</v>
      </c>
      <c r="B12" s="7">
        <v>164433.79864965202</v>
      </c>
      <c r="D12" s="1" t="s">
        <v>10</v>
      </c>
      <c r="E12" s="7">
        <v>3637.494850586133</v>
      </c>
      <c r="G12" s="1" t="s">
        <v>10</v>
      </c>
      <c r="H12" s="7">
        <v>124417.43334607029</v>
      </c>
      <c r="J12" s="1" t="s">
        <v>10</v>
      </c>
      <c r="K12" s="7">
        <v>4204.9603030329854</v>
      </c>
    </row>
    <row r="13" spans="1:11" x14ac:dyDescent="0.25">
      <c r="A13" s="1" t="s">
        <v>11</v>
      </c>
      <c r="B13" s="7">
        <v>328049.82910147455</v>
      </c>
      <c r="D13" s="1" t="s">
        <v>11</v>
      </c>
      <c r="E13" s="6">
        <v>10786.307843524384</v>
      </c>
      <c r="G13" s="1" t="s">
        <v>11</v>
      </c>
      <c r="H13" s="7">
        <v>354365.23840682564</v>
      </c>
      <c r="J13" s="1" t="s">
        <v>11</v>
      </c>
      <c r="K13" s="7">
        <v>18164.574511010294</v>
      </c>
    </row>
    <row r="14" spans="1:11" x14ac:dyDescent="0.25">
      <c r="A14" s="1" t="s">
        <v>12</v>
      </c>
      <c r="B14" s="1">
        <v>19533911.128090542</v>
      </c>
      <c r="D14" s="1" t="s">
        <v>12</v>
      </c>
      <c r="E14" s="7">
        <v>577816.666476154</v>
      </c>
      <c r="G14" s="1" t="s">
        <v>12</v>
      </c>
      <c r="H14" s="7">
        <v>16299662.478655983</v>
      </c>
      <c r="J14" s="1" t="s">
        <v>12</v>
      </c>
      <c r="K14" s="7">
        <v>693381.47190384159</v>
      </c>
    </row>
    <row r="15" spans="1:11" x14ac:dyDescent="0.25">
      <c r="A15" s="1" t="s">
        <v>13</v>
      </c>
      <c r="B15" s="1">
        <v>75</v>
      </c>
      <c r="D15" s="1" t="s">
        <v>13</v>
      </c>
      <c r="E15" s="1">
        <v>75</v>
      </c>
      <c r="G15" s="1" t="s">
        <v>13</v>
      </c>
      <c r="H15" s="1">
        <v>75</v>
      </c>
      <c r="J15" s="1" t="s">
        <v>13</v>
      </c>
      <c r="K15" s="7">
        <v>75</v>
      </c>
    </row>
    <row r="16" spans="1:11" ht="15.75" thickBot="1" x14ac:dyDescent="0.3">
      <c r="A16" s="2" t="s">
        <v>14</v>
      </c>
      <c r="B16" s="2">
        <v>9471.4882175740386</v>
      </c>
      <c r="D16" s="2" t="s">
        <v>14</v>
      </c>
      <c r="E16" s="2">
        <v>387.9226570969326</v>
      </c>
      <c r="G16" s="2" t="s">
        <v>14</v>
      </c>
      <c r="H16" s="8">
        <v>11545.5233136805</v>
      </c>
      <c r="J16" s="2" t="s">
        <v>14</v>
      </c>
      <c r="K16" s="8">
        <v>556.24258337055892</v>
      </c>
    </row>
    <row r="18" spans="1:11" x14ac:dyDescent="0.25">
      <c r="A18" s="31" t="s">
        <v>17</v>
      </c>
      <c r="B18" s="83">
        <f>B7/B3</f>
        <v>0.1580567692577087</v>
      </c>
      <c r="D18" s="31" t="s">
        <v>17</v>
      </c>
      <c r="E18" s="83">
        <f>E7/E3</f>
        <v>0.2188462786659145</v>
      </c>
      <c r="G18" s="31" t="s">
        <v>17</v>
      </c>
      <c r="H18" s="83">
        <f>H7/H3</f>
        <v>0.23089742830259255</v>
      </c>
      <c r="J18" s="84" t="s">
        <v>17</v>
      </c>
      <c r="K18" s="85">
        <f>K7/K3</f>
        <v>0.2615026447674082</v>
      </c>
    </row>
    <row r="20" spans="1:11" x14ac:dyDescent="0.25">
      <c r="A20" t="s">
        <v>18</v>
      </c>
    </row>
    <row r="23" spans="1:11" ht="15" customHeight="1" x14ac:dyDescent="0.25">
      <c r="A23" s="117" t="s">
        <v>163</v>
      </c>
      <c r="B23" s="118"/>
      <c r="D23" s="117" t="s">
        <v>164</v>
      </c>
      <c r="E23" s="118"/>
      <c r="G23" s="123" t="s">
        <v>165</v>
      </c>
      <c r="H23" s="124"/>
      <c r="J23" s="117" t="s">
        <v>200</v>
      </c>
      <c r="K23" s="118"/>
    </row>
    <row r="24" spans="1:11" x14ac:dyDescent="0.25">
      <c r="A24" s="119"/>
      <c r="B24" s="120"/>
      <c r="D24" s="119"/>
      <c r="E24" s="120"/>
      <c r="G24" s="125"/>
      <c r="H24" s="126"/>
      <c r="J24" s="119"/>
      <c r="K24" s="120"/>
    </row>
    <row r="25" spans="1:11" x14ac:dyDescent="0.25">
      <c r="A25" s="119"/>
      <c r="B25" s="120"/>
      <c r="D25" s="119"/>
      <c r="E25" s="120"/>
      <c r="G25" s="125"/>
      <c r="H25" s="126"/>
      <c r="J25" s="119"/>
      <c r="K25" s="120"/>
    </row>
    <row r="26" spans="1:11" x14ac:dyDescent="0.25">
      <c r="A26" s="119"/>
      <c r="B26" s="120"/>
      <c r="D26" s="119"/>
      <c r="E26" s="120"/>
      <c r="G26" s="125"/>
      <c r="H26" s="126"/>
      <c r="J26" s="119"/>
      <c r="K26" s="120"/>
    </row>
    <row r="27" spans="1:11" x14ac:dyDescent="0.25">
      <c r="A27" s="119"/>
      <c r="B27" s="120"/>
      <c r="D27" s="119"/>
      <c r="E27" s="120"/>
      <c r="G27" s="125"/>
      <c r="H27" s="126"/>
      <c r="J27" s="119"/>
      <c r="K27" s="120"/>
    </row>
    <row r="28" spans="1:11" x14ac:dyDescent="0.25">
      <c r="A28" s="119"/>
      <c r="B28" s="120"/>
      <c r="D28" s="119"/>
      <c r="E28" s="120"/>
      <c r="G28" s="125"/>
      <c r="H28" s="126"/>
      <c r="J28" s="119"/>
      <c r="K28" s="120"/>
    </row>
    <row r="29" spans="1:11" x14ac:dyDescent="0.25">
      <c r="A29" s="119"/>
      <c r="B29" s="120"/>
      <c r="D29" s="119"/>
      <c r="E29" s="120"/>
      <c r="G29" s="125"/>
      <c r="H29" s="126"/>
      <c r="J29" s="119"/>
      <c r="K29" s="120"/>
    </row>
    <row r="30" spans="1:11" x14ac:dyDescent="0.25">
      <c r="A30" s="119"/>
      <c r="B30" s="120"/>
      <c r="D30" s="119"/>
      <c r="E30" s="120"/>
      <c r="G30" s="125"/>
      <c r="H30" s="126"/>
      <c r="J30" s="119"/>
      <c r="K30" s="120"/>
    </row>
    <row r="31" spans="1:11" x14ac:dyDescent="0.25">
      <c r="A31" s="119"/>
      <c r="B31" s="120"/>
      <c r="D31" s="119"/>
      <c r="E31" s="120"/>
      <c r="G31" s="125"/>
      <c r="H31" s="126"/>
      <c r="J31" s="119"/>
      <c r="K31" s="120"/>
    </row>
    <row r="32" spans="1:11" x14ac:dyDescent="0.25">
      <c r="A32" s="119"/>
      <c r="B32" s="120"/>
      <c r="D32" s="119"/>
      <c r="E32" s="120"/>
      <c r="G32" s="125"/>
      <c r="H32" s="126"/>
      <c r="J32" s="119"/>
      <c r="K32" s="120"/>
    </row>
    <row r="33" spans="1:11" x14ac:dyDescent="0.25">
      <c r="A33" s="119"/>
      <c r="B33" s="120"/>
      <c r="D33" s="119"/>
      <c r="E33" s="120"/>
      <c r="G33" s="125"/>
      <c r="H33" s="126"/>
      <c r="J33" s="119"/>
      <c r="K33" s="120"/>
    </row>
    <row r="34" spans="1:11" x14ac:dyDescent="0.25">
      <c r="A34" s="119"/>
      <c r="B34" s="120"/>
      <c r="D34" s="119"/>
      <c r="E34" s="120"/>
      <c r="G34" s="125"/>
      <c r="H34" s="126"/>
      <c r="J34" s="119"/>
      <c r="K34" s="120"/>
    </row>
    <row r="35" spans="1:11" x14ac:dyDescent="0.25">
      <c r="A35" s="119"/>
      <c r="B35" s="120"/>
      <c r="D35" s="119"/>
      <c r="E35" s="120"/>
      <c r="G35" s="125"/>
      <c r="H35" s="126"/>
      <c r="J35" s="119"/>
      <c r="K35" s="120"/>
    </row>
    <row r="36" spans="1:11" x14ac:dyDescent="0.25">
      <c r="A36" s="121"/>
      <c r="B36" s="122"/>
      <c r="D36" s="121"/>
      <c r="E36" s="122"/>
      <c r="G36" s="127"/>
      <c r="H36" s="128"/>
      <c r="J36" s="121"/>
      <c r="K36" s="122"/>
    </row>
    <row r="37" spans="1:11" x14ac:dyDescent="0.25">
      <c r="A37" s="80"/>
      <c r="B37" s="81"/>
    </row>
    <row r="38" spans="1:11" x14ac:dyDescent="0.25">
      <c r="A38" s="80"/>
      <c r="B38" s="81"/>
    </row>
    <row r="39" spans="1:11" x14ac:dyDescent="0.25">
      <c r="A39" s="80"/>
      <c r="B39" s="81"/>
    </row>
    <row r="40" spans="1:11" x14ac:dyDescent="0.25">
      <c r="A40" s="80"/>
      <c r="B40" s="81"/>
    </row>
    <row r="41" spans="1:11" x14ac:dyDescent="0.25">
      <c r="A41" s="80"/>
      <c r="B41" s="81"/>
    </row>
    <row r="42" spans="1:11" x14ac:dyDescent="0.25">
      <c r="A42" s="80"/>
      <c r="B42" s="81"/>
    </row>
    <row r="43" spans="1:11" x14ac:dyDescent="0.25">
      <c r="A43" s="80"/>
      <c r="B43" s="81"/>
    </row>
    <row r="44" spans="1:11" x14ac:dyDescent="0.25">
      <c r="A44" s="80"/>
      <c r="B44" s="81"/>
    </row>
  </sheetData>
  <mergeCells count="4">
    <mergeCell ref="A23:B36"/>
    <mergeCell ref="D23:E36"/>
    <mergeCell ref="G23:H36"/>
    <mergeCell ref="J23:K36"/>
  </mergeCells>
  <pageMargins left="0.511811024" right="0.511811024" top="0.78740157499999996" bottom="0.78740157499999996" header="0.31496062000000002" footer="0.31496062000000002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N5" sqref="N5"/>
    </sheetView>
  </sheetViews>
  <sheetFormatPr defaultRowHeight="15" x14ac:dyDescent="0.25"/>
  <cols>
    <col min="1" max="1" width="27.28515625" bestFit="1" customWidth="1"/>
    <col min="2" max="2" width="25.85546875" bestFit="1" customWidth="1"/>
    <col min="3" max="3" width="16.85546875" bestFit="1" customWidth="1"/>
  </cols>
  <sheetData>
    <row r="1" spans="1:10" ht="15" customHeight="1" x14ac:dyDescent="0.25">
      <c r="A1" s="3"/>
      <c r="B1" s="3" t="s">
        <v>0</v>
      </c>
      <c r="C1" s="3" t="s">
        <v>15</v>
      </c>
      <c r="E1" s="117" t="s">
        <v>207</v>
      </c>
      <c r="F1" s="130"/>
      <c r="G1" s="130"/>
      <c r="H1" s="130"/>
      <c r="I1" s="130"/>
      <c r="J1" s="118"/>
    </row>
    <row r="2" spans="1:10" x14ac:dyDescent="0.25">
      <c r="A2" s="1" t="s">
        <v>0</v>
      </c>
      <c r="B2" s="1">
        <v>1</v>
      </c>
      <c r="C2" s="1"/>
      <c r="E2" s="119"/>
      <c r="F2" s="131"/>
      <c r="G2" s="131"/>
      <c r="H2" s="131"/>
      <c r="I2" s="131"/>
      <c r="J2" s="120"/>
    </row>
    <row r="3" spans="1:10" x14ac:dyDescent="0.25">
      <c r="A3" s="1" t="s">
        <v>15</v>
      </c>
      <c r="B3" s="88">
        <v>0.88949455608743833</v>
      </c>
      <c r="C3" s="1">
        <v>1</v>
      </c>
      <c r="E3" s="119"/>
      <c r="F3" s="131"/>
      <c r="G3" s="131"/>
      <c r="H3" s="131"/>
      <c r="I3" s="131"/>
      <c r="J3" s="120"/>
    </row>
    <row r="4" spans="1:10" x14ac:dyDescent="0.25">
      <c r="A4" s="31" t="s">
        <v>19</v>
      </c>
      <c r="B4" s="89">
        <f>B3^2</f>
        <v>0.79120056530918892</v>
      </c>
      <c r="C4" s="33"/>
      <c r="E4" s="119"/>
      <c r="F4" s="131"/>
      <c r="G4" s="131"/>
      <c r="H4" s="131"/>
      <c r="I4" s="131"/>
      <c r="J4" s="120"/>
    </row>
    <row r="5" spans="1:10" x14ac:dyDescent="0.25">
      <c r="E5" s="119"/>
      <c r="F5" s="131"/>
      <c r="G5" s="131"/>
      <c r="H5" s="131"/>
      <c r="I5" s="131"/>
      <c r="J5" s="120"/>
    </row>
    <row r="6" spans="1:10" x14ac:dyDescent="0.25">
      <c r="A6" s="129" t="s">
        <v>23</v>
      </c>
      <c r="B6" s="10" t="s">
        <v>21</v>
      </c>
      <c r="C6" s="10" t="s">
        <v>26</v>
      </c>
      <c r="D6" s="86">
        <v>0.21</v>
      </c>
      <c r="E6" s="119"/>
      <c r="F6" s="131"/>
      <c r="G6" s="131"/>
      <c r="H6" s="131"/>
      <c r="I6" s="131"/>
      <c r="J6" s="120"/>
    </row>
    <row r="7" spans="1:10" x14ac:dyDescent="0.25">
      <c r="A7" s="129"/>
      <c r="B7" s="10" t="s">
        <v>20</v>
      </c>
      <c r="C7" s="10" t="s">
        <v>10</v>
      </c>
      <c r="D7" s="72" t="s">
        <v>11</v>
      </c>
      <c r="E7" s="119"/>
      <c r="F7" s="131"/>
      <c r="G7" s="131"/>
      <c r="H7" s="131"/>
      <c r="I7" s="131"/>
      <c r="J7" s="120"/>
    </row>
    <row r="8" spans="1:10" ht="18" customHeight="1" x14ac:dyDescent="0.25">
      <c r="A8" s="129"/>
      <c r="B8" s="11">
        <f>(0.0364*340546)-1784.3</f>
        <v>10611.574400000001</v>
      </c>
      <c r="C8" s="11">
        <f>$B$8-($B$8*$D$6)</f>
        <v>8383.1437760000008</v>
      </c>
      <c r="D8" s="87">
        <f>$B$8+($B$8*$D$6)</f>
        <v>12840.005024000002</v>
      </c>
      <c r="E8" s="121"/>
      <c r="F8" s="132"/>
      <c r="G8" s="132"/>
      <c r="H8" s="132"/>
      <c r="I8" s="132"/>
      <c r="J8" s="122"/>
    </row>
    <row r="9" spans="1:10" x14ac:dyDescent="0.25">
      <c r="D9" s="5"/>
    </row>
    <row r="33" spans="1:10" ht="15.75" thickBot="1" x14ac:dyDescent="0.3"/>
    <row r="34" spans="1:10" ht="15" customHeight="1" x14ac:dyDescent="0.25">
      <c r="A34" s="3"/>
      <c r="B34" s="3" t="s">
        <v>16</v>
      </c>
      <c r="C34" s="3" t="s">
        <v>15</v>
      </c>
      <c r="E34" s="117" t="s">
        <v>166</v>
      </c>
      <c r="F34" s="130"/>
      <c r="G34" s="130"/>
      <c r="H34" s="130"/>
      <c r="I34" s="130"/>
      <c r="J34" s="118"/>
    </row>
    <row r="35" spans="1:10" x14ac:dyDescent="0.25">
      <c r="A35" s="1" t="s">
        <v>16</v>
      </c>
      <c r="B35" s="1">
        <v>1</v>
      </c>
      <c r="C35" s="1"/>
      <c r="E35" s="119"/>
      <c r="F35" s="131"/>
      <c r="G35" s="131"/>
      <c r="H35" s="131"/>
      <c r="I35" s="131"/>
      <c r="J35" s="120"/>
    </row>
    <row r="36" spans="1:10" x14ac:dyDescent="0.25">
      <c r="A36" s="1" t="s">
        <v>15</v>
      </c>
      <c r="B36" s="88">
        <v>0.76554733388166218</v>
      </c>
      <c r="C36" s="1">
        <v>1</v>
      </c>
      <c r="E36" s="119"/>
      <c r="F36" s="131"/>
      <c r="G36" s="131"/>
      <c r="H36" s="131"/>
      <c r="I36" s="131"/>
      <c r="J36" s="120"/>
    </row>
    <row r="37" spans="1:10" x14ac:dyDescent="0.25">
      <c r="A37" s="31" t="s">
        <v>19</v>
      </c>
      <c r="B37" s="89">
        <f>B36^2</f>
        <v>0.58606272041332119</v>
      </c>
      <c r="C37" s="33"/>
      <c r="E37" s="119"/>
      <c r="F37" s="131"/>
      <c r="G37" s="131"/>
      <c r="H37" s="131"/>
      <c r="I37" s="131"/>
      <c r="J37" s="120"/>
    </row>
    <row r="38" spans="1:10" x14ac:dyDescent="0.25">
      <c r="E38" s="119"/>
      <c r="F38" s="131"/>
      <c r="G38" s="131"/>
      <c r="H38" s="131"/>
      <c r="I38" s="131"/>
      <c r="J38" s="120"/>
    </row>
    <row r="39" spans="1:10" x14ac:dyDescent="0.25">
      <c r="A39" s="129" t="s">
        <v>24</v>
      </c>
      <c r="B39" s="10" t="s">
        <v>22</v>
      </c>
      <c r="C39" s="10" t="s">
        <v>26</v>
      </c>
      <c r="D39" s="86">
        <v>0.41</v>
      </c>
      <c r="E39" s="119"/>
      <c r="F39" s="131"/>
      <c r="G39" s="131"/>
      <c r="H39" s="131"/>
      <c r="I39" s="131"/>
      <c r="J39" s="120"/>
    </row>
    <row r="40" spans="1:10" x14ac:dyDescent="0.25">
      <c r="A40" s="129"/>
      <c r="B40" s="10" t="s">
        <v>25</v>
      </c>
      <c r="C40" s="10" t="s">
        <v>10</v>
      </c>
      <c r="D40" s="72" t="s">
        <v>11</v>
      </c>
      <c r="E40" s="119"/>
      <c r="F40" s="131"/>
      <c r="G40" s="131"/>
      <c r="H40" s="131"/>
      <c r="I40" s="131"/>
      <c r="J40" s="120"/>
    </row>
    <row r="41" spans="1:10" ht="18" customHeight="1" x14ac:dyDescent="0.25">
      <c r="A41" s="129"/>
      <c r="B41" s="11">
        <f>(0.0369*367016)+1229.4</f>
        <v>14772.2904</v>
      </c>
      <c r="C41" s="11">
        <f>$B$41-($B$41*$D$39)</f>
        <v>8715.651335999999</v>
      </c>
      <c r="D41" s="87">
        <f>$B$41+($B$41*$D$39)</f>
        <v>20828.929464000001</v>
      </c>
      <c r="E41" s="121"/>
      <c r="F41" s="132"/>
      <c r="G41" s="132"/>
      <c r="H41" s="132"/>
      <c r="I41" s="132"/>
      <c r="J41" s="122"/>
    </row>
  </sheetData>
  <mergeCells count="4">
    <mergeCell ref="A6:A8"/>
    <mergeCell ref="A39:A41"/>
    <mergeCell ref="E1:J8"/>
    <mergeCell ref="E34:J4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workbookViewId="0">
      <selection activeCell="V28" sqref="V28"/>
    </sheetView>
  </sheetViews>
  <sheetFormatPr defaultRowHeight="15" x14ac:dyDescent="0.25"/>
  <sheetData>
    <row r="1" spans="1:19" ht="23.25" x14ac:dyDescent="0.35">
      <c r="A1" s="133" t="s">
        <v>27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</row>
    <row r="26" spans="1:19" ht="23.25" x14ac:dyDescent="0.35">
      <c r="A26" s="133" t="s">
        <v>28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</row>
  </sheetData>
  <mergeCells count="2">
    <mergeCell ref="A1:S1"/>
    <mergeCell ref="A26:S26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A7" sqref="A7:J7"/>
    </sheetView>
  </sheetViews>
  <sheetFormatPr defaultRowHeight="15" x14ac:dyDescent="0.25"/>
  <cols>
    <col min="1" max="1" width="18.7109375" bestFit="1" customWidth="1"/>
    <col min="2" max="2" width="9.5703125" bestFit="1" customWidth="1"/>
    <col min="3" max="3" width="11" bestFit="1" customWidth="1"/>
    <col min="5" max="5" width="20.85546875" bestFit="1" customWidth="1"/>
    <col min="6" max="6" width="9.5703125" bestFit="1" customWidth="1"/>
    <col min="8" max="8" width="11.140625" customWidth="1"/>
    <col min="10" max="10" width="12" bestFit="1" customWidth="1"/>
  </cols>
  <sheetData>
    <row r="1" spans="1:10" x14ac:dyDescent="0.25">
      <c r="A1" s="134" t="s">
        <v>171</v>
      </c>
      <c r="B1" s="134"/>
      <c r="C1" s="134"/>
      <c r="D1" s="134"/>
      <c r="E1" s="134"/>
      <c r="F1" s="134"/>
      <c r="G1" s="134"/>
      <c r="H1" s="134"/>
      <c r="I1" s="134"/>
      <c r="J1" s="134"/>
    </row>
    <row r="2" spans="1:10" x14ac:dyDescent="0.25">
      <c r="A2" s="14" t="s">
        <v>29</v>
      </c>
      <c r="B2" s="20">
        <v>217328.83304874643</v>
      </c>
      <c r="C2" s="16"/>
      <c r="D2" s="16"/>
      <c r="E2" s="14" t="s">
        <v>30</v>
      </c>
      <c r="F2" s="14" t="s">
        <v>31</v>
      </c>
      <c r="G2" s="12">
        <f>B2+((B3*B4)/SQRT(B5))</f>
        <v>234711.92657960876</v>
      </c>
      <c r="H2" s="16"/>
      <c r="I2" s="16"/>
      <c r="J2" s="17"/>
    </row>
    <row r="3" spans="1:10" x14ac:dyDescent="0.25">
      <c r="A3" s="14" t="s">
        <v>39</v>
      </c>
      <c r="B3" s="12">
        <v>3</v>
      </c>
      <c r="C3" s="16"/>
      <c r="D3" s="16"/>
      <c r="E3" s="14" t="s">
        <v>32</v>
      </c>
      <c r="F3" s="14" t="s">
        <v>33</v>
      </c>
      <c r="G3" s="12">
        <f>(B3*B4)/(SQRT(B5))</f>
        <v>17383.093530862327</v>
      </c>
      <c r="H3" s="16"/>
      <c r="I3" s="16"/>
      <c r="J3" s="17"/>
    </row>
    <row r="4" spans="1:10" x14ac:dyDescent="0.25">
      <c r="A4" s="14" t="s">
        <v>34</v>
      </c>
      <c r="B4" s="20">
        <v>50180.668646959035</v>
      </c>
      <c r="C4" s="16"/>
      <c r="D4" s="16"/>
      <c r="E4" s="14" t="s">
        <v>35</v>
      </c>
      <c r="F4" s="14" t="s">
        <v>36</v>
      </c>
      <c r="G4" s="15">
        <f>(B6-B2)/(B4/SQRT(B5))</f>
        <v>11.391269367687613</v>
      </c>
      <c r="H4" s="16"/>
      <c r="I4" s="16"/>
      <c r="J4" s="17"/>
    </row>
    <row r="5" spans="1:10" x14ac:dyDescent="0.25">
      <c r="A5" s="14" t="s">
        <v>37</v>
      </c>
      <c r="B5" s="12">
        <v>75</v>
      </c>
      <c r="C5" s="16"/>
      <c r="D5" s="16"/>
      <c r="E5" s="14" t="s">
        <v>46</v>
      </c>
      <c r="F5" s="11">
        <f>B2-G3</f>
        <v>199945.7395178841</v>
      </c>
      <c r="G5" s="10" t="s">
        <v>45</v>
      </c>
      <c r="H5" s="21">
        <f>B2</f>
        <v>217328.83304874643</v>
      </c>
      <c r="I5" s="10" t="s">
        <v>45</v>
      </c>
      <c r="J5" s="11">
        <f>B2+G3</f>
        <v>234711.92657960876</v>
      </c>
    </row>
    <row r="6" spans="1:10" x14ac:dyDescent="0.25">
      <c r="A6" s="14" t="s">
        <v>38</v>
      </c>
      <c r="B6" s="12">
        <v>283334</v>
      </c>
      <c r="C6" s="16"/>
      <c r="D6" s="16"/>
      <c r="E6" s="91" t="s">
        <v>168</v>
      </c>
      <c r="F6" s="31">
        <v>1.9930000000000001</v>
      </c>
      <c r="G6" s="32"/>
      <c r="H6" s="92" t="s">
        <v>169</v>
      </c>
      <c r="I6" s="136" t="s">
        <v>170</v>
      </c>
      <c r="J6" s="137"/>
    </row>
    <row r="7" spans="1:10" ht="56.25" customHeight="1" x14ac:dyDescent="0.25">
      <c r="A7" s="138" t="s">
        <v>174</v>
      </c>
      <c r="B7" s="139"/>
      <c r="C7" s="139"/>
      <c r="D7" s="139"/>
      <c r="E7" s="139"/>
      <c r="F7" s="139"/>
      <c r="G7" s="139"/>
      <c r="H7" s="139"/>
      <c r="I7" s="139"/>
      <c r="J7" s="140"/>
    </row>
    <row r="8" spans="1:10" x14ac:dyDescent="0.25">
      <c r="A8" s="134" t="s">
        <v>44</v>
      </c>
      <c r="B8" s="134"/>
      <c r="C8" s="134"/>
      <c r="D8" s="134"/>
      <c r="E8" s="134"/>
      <c r="F8" s="134"/>
      <c r="G8" s="134"/>
      <c r="H8" s="134"/>
      <c r="I8" s="134"/>
      <c r="J8" s="134"/>
    </row>
    <row r="9" spans="1:10" x14ac:dyDescent="0.25">
      <c r="A9" s="14" t="s">
        <v>29</v>
      </c>
      <c r="B9" s="20">
        <v>260452.14837454056</v>
      </c>
      <c r="C9" s="16"/>
      <c r="D9" s="16"/>
      <c r="E9" s="14" t="s">
        <v>30</v>
      </c>
      <c r="F9" s="14" t="s">
        <v>31</v>
      </c>
      <c r="G9" s="12">
        <f>B9+((B10*B11)/SQRT(B12))</f>
        <v>269768.94218674256</v>
      </c>
      <c r="H9" s="16"/>
      <c r="I9" s="16"/>
      <c r="J9" s="17"/>
    </row>
    <row r="10" spans="1:10" x14ac:dyDescent="0.25">
      <c r="A10" s="14" t="s">
        <v>39</v>
      </c>
      <c r="B10" s="12">
        <v>1.96</v>
      </c>
      <c r="C10" s="16"/>
      <c r="D10" s="16"/>
      <c r="E10" s="14" t="s">
        <v>32</v>
      </c>
      <c r="F10" s="14" t="s">
        <v>33</v>
      </c>
      <c r="G10" s="12">
        <f>(B10*B11)/(SQRT(B12))</f>
        <v>9316.7938122020223</v>
      </c>
      <c r="H10" s="16"/>
      <c r="I10" s="16"/>
      <c r="J10" s="17"/>
    </row>
    <row r="11" spans="1:10" x14ac:dyDescent="0.25">
      <c r="A11" s="14" t="s">
        <v>34</v>
      </c>
      <c r="B11" s="20">
        <v>41166.225118309267</v>
      </c>
      <c r="C11" s="16"/>
      <c r="D11" s="16"/>
      <c r="E11" s="14" t="s">
        <v>35</v>
      </c>
      <c r="F11" s="14" t="s">
        <v>36</v>
      </c>
      <c r="G11" s="15">
        <f>(B13-B9)/(B11/SQRT(B12))</f>
        <v>-1.6251610928932696</v>
      </c>
      <c r="H11" s="16"/>
      <c r="I11" s="16"/>
      <c r="J11" s="17"/>
    </row>
    <row r="12" spans="1:10" x14ac:dyDescent="0.25">
      <c r="A12" s="14" t="s">
        <v>37</v>
      </c>
      <c r="B12" s="12">
        <v>75</v>
      </c>
      <c r="C12" s="16"/>
      <c r="D12" s="16"/>
      <c r="E12" s="14" t="s">
        <v>46</v>
      </c>
      <c r="F12" s="11">
        <f>B9-G10</f>
        <v>251135.35456233853</v>
      </c>
      <c r="G12" s="10" t="s">
        <v>45</v>
      </c>
      <c r="H12" s="21">
        <f>B9</f>
        <v>260452.14837454056</v>
      </c>
      <c r="I12" s="10" t="s">
        <v>45</v>
      </c>
      <c r="J12" s="11">
        <f>B9+G10</f>
        <v>269768.94218674256</v>
      </c>
    </row>
    <row r="13" spans="1:10" x14ac:dyDescent="0.25">
      <c r="A13" s="14" t="s">
        <v>38</v>
      </c>
      <c r="B13" s="12">
        <v>252727</v>
      </c>
      <c r="C13" s="9"/>
      <c r="D13" s="9"/>
      <c r="E13" s="91" t="s">
        <v>168</v>
      </c>
      <c r="F13" s="31">
        <v>1.9930000000000001</v>
      </c>
      <c r="G13" s="32"/>
      <c r="H13" s="92" t="s">
        <v>172</v>
      </c>
      <c r="I13" s="136" t="s">
        <v>173</v>
      </c>
      <c r="J13" s="137"/>
    </row>
    <row r="14" spans="1:10" ht="59.25" customHeight="1" x14ac:dyDescent="0.25">
      <c r="A14" s="138" t="s">
        <v>175</v>
      </c>
      <c r="B14" s="139"/>
      <c r="C14" s="139"/>
      <c r="D14" s="139"/>
      <c r="E14" s="139"/>
      <c r="F14" s="139"/>
      <c r="G14" s="139"/>
      <c r="H14" s="139"/>
      <c r="I14" s="139"/>
      <c r="J14" s="140"/>
    </row>
    <row r="15" spans="1:10" x14ac:dyDescent="0.25">
      <c r="A15" s="135" t="s">
        <v>87</v>
      </c>
      <c r="B15" s="136"/>
      <c r="C15" s="136"/>
      <c r="D15" s="136"/>
      <c r="E15" s="136"/>
      <c r="F15" s="136"/>
      <c r="G15" s="136"/>
      <c r="H15" s="136"/>
      <c r="I15" s="136"/>
      <c r="J15" s="137"/>
    </row>
    <row r="16" spans="1:10" x14ac:dyDescent="0.25">
      <c r="A16" s="14" t="s">
        <v>94</v>
      </c>
      <c r="B16" s="22" t="s">
        <v>47</v>
      </c>
      <c r="C16" s="20">
        <v>260452.14837454056</v>
      </c>
      <c r="D16" s="25"/>
      <c r="E16" s="14" t="s">
        <v>36</v>
      </c>
      <c r="F16" s="12">
        <f>(C16-C19)/(SQRT((C17/C18)+(C20/C21)))</f>
        <v>5.7538632847921516</v>
      </c>
      <c r="G16" s="25"/>
      <c r="H16" s="25"/>
      <c r="I16" s="25"/>
      <c r="J16" s="26"/>
    </row>
    <row r="17" spans="1:10" x14ac:dyDescent="0.25">
      <c r="A17" s="14" t="s">
        <v>48</v>
      </c>
      <c r="B17" s="22" t="s">
        <v>49</v>
      </c>
      <c r="C17" s="28">
        <v>1694658090.4913166</v>
      </c>
      <c r="D17" s="16"/>
      <c r="E17" s="14" t="s">
        <v>50</v>
      </c>
      <c r="F17" s="23">
        <f>C18+C21-2</f>
        <v>148</v>
      </c>
      <c r="G17" s="16"/>
      <c r="H17" s="16"/>
      <c r="I17" s="16"/>
      <c r="J17" s="17"/>
    </row>
    <row r="18" spans="1:10" x14ac:dyDescent="0.25">
      <c r="A18" s="14" t="s">
        <v>51</v>
      </c>
      <c r="B18" s="22" t="s">
        <v>52</v>
      </c>
      <c r="C18" s="12">
        <v>75</v>
      </c>
      <c r="D18" s="16"/>
      <c r="E18" s="14" t="s">
        <v>53</v>
      </c>
      <c r="F18" s="13">
        <f>(C16-C19)-(C22*(SQRT((C17/C18)+(C20/C21))))</f>
        <v>28433.759134573349</v>
      </c>
      <c r="G18" s="13" t="s">
        <v>45</v>
      </c>
      <c r="H18" s="11">
        <f>C16-C19</f>
        <v>43123.31532579413</v>
      </c>
      <c r="I18" s="13" t="s">
        <v>45</v>
      </c>
      <c r="J18" s="13">
        <f>(C16-C19)+(C22*(SQRT((C17/C18)+(C20/C21))))</f>
        <v>57812.871517014908</v>
      </c>
    </row>
    <row r="19" spans="1:10" x14ac:dyDescent="0.25">
      <c r="A19" s="14" t="s">
        <v>95</v>
      </c>
      <c r="B19" s="22" t="s">
        <v>54</v>
      </c>
      <c r="C19" s="20">
        <v>217328.83304874643</v>
      </c>
      <c r="D19" s="16"/>
      <c r="E19" s="16"/>
      <c r="F19" s="16"/>
      <c r="G19" s="16"/>
      <c r="H19" s="16"/>
      <c r="I19" s="16"/>
      <c r="J19" s="17"/>
    </row>
    <row r="20" spans="1:10" x14ac:dyDescent="0.25">
      <c r="A20" s="14" t="s">
        <v>48</v>
      </c>
      <c r="B20" s="22" t="s">
        <v>55</v>
      </c>
      <c r="C20" s="28">
        <v>2518099505.8558974</v>
      </c>
      <c r="D20" s="16"/>
      <c r="E20" s="16"/>
      <c r="F20" s="16"/>
      <c r="G20" s="16"/>
      <c r="H20" s="16"/>
      <c r="I20" s="16"/>
      <c r="J20" s="17"/>
    </row>
    <row r="21" spans="1:10" x14ac:dyDescent="0.25">
      <c r="A21" s="14" t="s">
        <v>51</v>
      </c>
      <c r="B21" s="22" t="s">
        <v>56</v>
      </c>
      <c r="C21" s="12">
        <v>75</v>
      </c>
      <c r="D21" s="16"/>
      <c r="E21" s="14" t="s">
        <v>168</v>
      </c>
      <c r="F21" s="32">
        <v>1.96</v>
      </c>
      <c r="G21" s="32"/>
      <c r="H21" s="93" t="s">
        <v>169</v>
      </c>
      <c r="I21" s="92" t="s">
        <v>60</v>
      </c>
      <c r="J21" s="94"/>
    </row>
    <row r="22" spans="1:10" x14ac:dyDescent="0.25">
      <c r="A22" s="14" t="s">
        <v>57</v>
      </c>
      <c r="B22" s="90" t="s">
        <v>58</v>
      </c>
      <c r="C22" s="24">
        <v>1.96</v>
      </c>
      <c r="D22" s="16"/>
      <c r="E22" s="16"/>
      <c r="F22" s="16"/>
      <c r="G22" s="16"/>
      <c r="H22" s="16"/>
      <c r="I22" s="16"/>
      <c r="J22" s="17"/>
    </row>
    <row r="23" spans="1:10" x14ac:dyDescent="0.25">
      <c r="A23" s="27"/>
      <c r="B23" s="9"/>
      <c r="C23" s="9"/>
      <c r="D23" s="9"/>
      <c r="E23" s="9"/>
      <c r="F23" s="9"/>
      <c r="G23" s="9"/>
      <c r="H23" s="9"/>
      <c r="I23" s="9"/>
      <c r="J23" s="18"/>
    </row>
    <row r="24" spans="1:10" ht="15" customHeight="1" x14ac:dyDescent="0.25">
      <c r="A24" s="117" t="s">
        <v>167</v>
      </c>
      <c r="B24" s="130"/>
      <c r="C24" s="130"/>
      <c r="D24" s="130"/>
      <c r="E24" s="130"/>
      <c r="F24" s="130"/>
      <c r="G24" s="130"/>
      <c r="H24" s="130"/>
      <c r="I24" s="130"/>
      <c r="J24" s="118"/>
    </row>
    <row r="25" spans="1:10" ht="15" customHeight="1" x14ac:dyDescent="0.25">
      <c r="A25" s="119"/>
      <c r="B25" s="131"/>
      <c r="C25" s="131"/>
      <c r="D25" s="131"/>
      <c r="E25" s="131"/>
      <c r="F25" s="131"/>
      <c r="G25" s="131"/>
      <c r="H25" s="131"/>
      <c r="I25" s="131"/>
      <c r="J25" s="120"/>
    </row>
    <row r="26" spans="1:10" x14ac:dyDescent="0.25">
      <c r="A26" s="119"/>
      <c r="B26" s="131"/>
      <c r="C26" s="131"/>
      <c r="D26" s="131"/>
      <c r="E26" s="131"/>
      <c r="F26" s="131"/>
      <c r="G26" s="131"/>
      <c r="H26" s="131"/>
      <c r="I26" s="131"/>
      <c r="J26" s="120"/>
    </row>
    <row r="27" spans="1:10" x14ac:dyDescent="0.25">
      <c r="A27" s="119"/>
      <c r="B27" s="131"/>
      <c r="C27" s="131"/>
      <c r="D27" s="131"/>
      <c r="E27" s="131"/>
      <c r="F27" s="131"/>
      <c r="G27" s="131"/>
      <c r="H27" s="131"/>
      <c r="I27" s="131"/>
      <c r="J27" s="120"/>
    </row>
    <row r="28" spans="1:10" x14ac:dyDescent="0.25">
      <c r="A28" s="121"/>
      <c r="B28" s="132"/>
      <c r="C28" s="132"/>
      <c r="D28" s="132"/>
      <c r="E28" s="132"/>
      <c r="F28" s="132"/>
      <c r="G28" s="132"/>
      <c r="H28" s="132"/>
      <c r="I28" s="132"/>
      <c r="J28" s="122"/>
    </row>
    <row r="29" spans="1:10" x14ac:dyDescent="0.25">
      <c r="A29" s="81"/>
      <c r="B29" s="81"/>
      <c r="C29" s="81"/>
      <c r="D29" s="81"/>
      <c r="E29" s="81"/>
      <c r="F29" s="81"/>
      <c r="G29" s="81"/>
      <c r="H29" s="81"/>
      <c r="I29" s="81"/>
      <c r="J29" s="81"/>
    </row>
    <row r="30" spans="1:10" x14ac:dyDescent="0.25">
      <c r="A30" s="81"/>
      <c r="B30" s="81"/>
      <c r="C30" s="81"/>
      <c r="D30" s="81"/>
      <c r="E30" s="81"/>
      <c r="F30" s="81"/>
      <c r="G30" s="81"/>
      <c r="H30" s="81"/>
      <c r="I30" s="81"/>
      <c r="J30" s="81"/>
    </row>
    <row r="31" spans="1:10" x14ac:dyDescent="0.25">
      <c r="A31" s="81"/>
      <c r="B31" s="81"/>
      <c r="C31" s="81"/>
      <c r="D31" s="81"/>
      <c r="E31" s="81"/>
      <c r="F31" s="81"/>
      <c r="G31" s="81"/>
      <c r="H31" s="81"/>
      <c r="I31" s="81"/>
      <c r="J31" s="81"/>
    </row>
    <row r="32" spans="1:10" x14ac:dyDescent="0.25">
      <c r="A32" s="81"/>
      <c r="B32" s="81"/>
      <c r="C32" s="81"/>
      <c r="D32" s="81"/>
      <c r="E32" s="81"/>
      <c r="F32" s="81"/>
      <c r="G32" s="81"/>
      <c r="H32" s="81"/>
      <c r="I32" s="81"/>
      <c r="J32" s="81"/>
    </row>
  </sheetData>
  <mergeCells count="8">
    <mergeCell ref="A24:J28"/>
    <mergeCell ref="A1:J1"/>
    <mergeCell ref="A8:J8"/>
    <mergeCell ref="A15:J15"/>
    <mergeCell ref="A7:J7"/>
    <mergeCell ref="A14:J14"/>
    <mergeCell ref="I6:J6"/>
    <mergeCell ref="I13:J1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:AA32"/>
  <sheetViews>
    <sheetView workbookViewId="0">
      <selection activeCell="U8" sqref="U8"/>
    </sheetView>
  </sheetViews>
  <sheetFormatPr defaultRowHeight="15" x14ac:dyDescent="0.25"/>
  <sheetData>
    <row r="1" spans="13:27" ht="15" customHeight="1" x14ac:dyDescent="0.25">
      <c r="M1" s="123" t="s">
        <v>199</v>
      </c>
      <c r="N1" s="141"/>
      <c r="O1" s="141"/>
      <c r="P1" s="141"/>
      <c r="Q1" s="141"/>
      <c r="R1" s="141"/>
      <c r="S1" s="124"/>
      <c r="T1" s="96"/>
      <c r="U1" s="96"/>
      <c r="V1" s="96"/>
      <c r="W1" s="96"/>
      <c r="X1" s="96"/>
      <c r="Y1" s="96"/>
      <c r="Z1" s="96"/>
      <c r="AA1" s="96"/>
    </row>
    <row r="2" spans="13:27" x14ac:dyDescent="0.25">
      <c r="M2" s="125"/>
      <c r="N2" s="142"/>
      <c r="O2" s="142"/>
      <c r="P2" s="142"/>
      <c r="Q2" s="142"/>
      <c r="R2" s="142"/>
      <c r="S2" s="126"/>
      <c r="T2" s="96"/>
      <c r="U2" s="96"/>
      <c r="V2" s="96"/>
      <c r="W2" s="96"/>
      <c r="X2" s="96"/>
      <c r="Y2" s="96"/>
      <c r="Z2" s="96"/>
      <c r="AA2" s="96"/>
    </row>
    <row r="3" spans="13:27" x14ac:dyDescent="0.25">
      <c r="M3" s="125"/>
      <c r="N3" s="142"/>
      <c r="O3" s="142"/>
      <c r="P3" s="142"/>
      <c r="Q3" s="142"/>
      <c r="R3" s="142"/>
      <c r="S3" s="126"/>
      <c r="T3" s="96"/>
      <c r="U3" s="96"/>
      <c r="V3" s="96"/>
      <c r="W3" s="96"/>
      <c r="X3" s="96"/>
      <c r="Y3" s="96"/>
      <c r="Z3" s="96"/>
      <c r="AA3" s="96"/>
    </row>
    <row r="4" spans="13:27" x14ac:dyDescent="0.25">
      <c r="M4" s="125"/>
      <c r="N4" s="142"/>
      <c r="O4" s="142"/>
      <c r="P4" s="142"/>
      <c r="Q4" s="142"/>
      <c r="R4" s="142"/>
      <c r="S4" s="126"/>
      <c r="T4" s="96"/>
      <c r="U4" s="96"/>
      <c r="V4" s="96"/>
      <c r="W4" s="96"/>
      <c r="X4" s="96"/>
      <c r="Y4" s="96"/>
      <c r="Z4" s="96"/>
      <c r="AA4" s="96"/>
    </row>
    <row r="5" spans="13:27" x14ac:dyDescent="0.25">
      <c r="M5" s="125"/>
      <c r="N5" s="142"/>
      <c r="O5" s="142"/>
      <c r="P5" s="142"/>
      <c r="Q5" s="142"/>
      <c r="R5" s="142"/>
      <c r="S5" s="126"/>
      <c r="T5" s="96"/>
      <c r="U5" s="96"/>
      <c r="V5" s="96"/>
      <c r="W5" s="96"/>
      <c r="X5" s="96"/>
      <c r="Y5" s="96"/>
      <c r="Z5" s="96"/>
      <c r="AA5" s="96"/>
    </row>
    <row r="6" spans="13:27" x14ac:dyDescent="0.25">
      <c r="M6" s="125"/>
      <c r="N6" s="142"/>
      <c r="O6" s="142"/>
      <c r="P6" s="142"/>
      <c r="Q6" s="142"/>
      <c r="R6" s="142"/>
      <c r="S6" s="126"/>
      <c r="T6" s="96"/>
      <c r="U6" s="96"/>
      <c r="V6" s="96"/>
      <c r="W6" s="96"/>
      <c r="X6" s="96"/>
      <c r="Y6" s="96"/>
      <c r="Z6" s="96"/>
      <c r="AA6" s="96"/>
    </row>
    <row r="7" spans="13:27" x14ac:dyDescent="0.25">
      <c r="M7" s="125"/>
      <c r="N7" s="142"/>
      <c r="O7" s="142"/>
      <c r="P7" s="142"/>
      <c r="Q7" s="142"/>
      <c r="R7" s="142"/>
      <c r="S7" s="126"/>
      <c r="T7" s="96"/>
      <c r="U7" s="96"/>
      <c r="V7" s="96"/>
      <c r="W7" s="96"/>
      <c r="X7" s="96"/>
      <c r="Y7" s="96"/>
      <c r="Z7" s="96"/>
      <c r="AA7" s="96"/>
    </row>
    <row r="8" spans="13:27" x14ac:dyDescent="0.25">
      <c r="M8" s="125"/>
      <c r="N8" s="142"/>
      <c r="O8" s="142"/>
      <c r="P8" s="142"/>
      <c r="Q8" s="142"/>
      <c r="R8" s="142"/>
      <c r="S8" s="126"/>
      <c r="T8" s="96"/>
      <c r="U8" s="96"/>
      <c r="V8" s="96"/>
      <c r="W8" s="96"/>
      <c r="X8" s="96"/>
      <c r="Y8" s="96"/>
      <c r="Z8" s="96"/>
      <c r="AA8" s="96"/>
    </row>
    <row r="9" spans="13:27" x14ac:dyDescent="0.25">
      <c r="M9" s="125"/>
      <c r="N9" s="142"/>
      <c r="O9" s="142"/>
      <c r="P9" s="142"/>
      <c r="Q9" s="142"/>
      <c r="R9" s="142"/>
      <c r="S9" s="126"/>
      <c r="T9" s="96"/>
      <c r="U9" s="96"/>
      <c r="V9" s="96"/>
      <c r="W9" s="96"/>
      <c r="X9" s="96"/>
      <c r="Y9" s="96"/>
      <c r="Z9" s="96"/>
      <c r="AA9" s="96"/>
    </row>
    <row r="10" spans="13:27" x14ac:dyDescent="0.25">
      <c r="M10" s="125"/>
      <c r="N10" s="142"/>
      <c r="O10" s="142"/>
      <c r="P10" s="142"/>
      <c r="Q10" s="142"/>
      <c r="R10" s="142"/>
      <c r="S10" s="126"/>
      <c r="T10" s="96"/>
      <c r="U10" s="96"/>
      <c r="V10" s="96"/>
      <c r="W10" s="96"/>
      <c r="X10" s="96"/>
      <c r="Y10" s="96"/>
      <c r="Z10" s="96"/>
      <c r="AA10" s="96"/>
    </row>
    <row r="11" spans="13:27" x14ac:dyDescent="0.25">
      <c r="M11" s="125"/>
      <c r="N11" s="142"/>
      <c r="O11" s="142"/>
      <c r="P11" s="142"/>
      <c r="Q11" s="142"/>
      <c r="R11" s="142"/>
      <c r="S11" s="126"/>
      <c r="T11" s="96"/>
      <c r="U11" s="96"/>
      <c r="V11" s="96"/>
      <c r="W11" s="96"/>
      <c r="X11" s="96"/>
      <c r="Y11" s="96"/>
      <c r="Z11" s="96"/>
      <c r="AA11" s="96"/>
    </row>
    <row r="12" spans="13:27" x14ac:dyDescent="0.25">
      <c r="M12" s="125"/>
      <c r="N12" s="142"/>
      <c r="O12" s="142"/>
      <c r="P12" s="142"/>
      <c r="Q12" s="142"/>
      <c r="R12" s="142"/>
      <c r="S12" s="126"/>
      <c r="T12" s="96"/>
      <c r="U12" s="96"/>
      <c r="V12" s="96"/>
      <c r="W12" s="96"/>
      <c r="X12" s="96"/>
      <c r="Y12" s="96"/>
      <c r="Z12" s="96"/>
      <c r="AA12" s="96"/>
    </row>
    <row r="13" spans="13:27" x14ac:dyDescent="0.25">
      <c r="M13" s="125"/>
      <c r="N13" s="142"/>
      <c r="O13" s="142"/>
      <c r="P13" s="142"/>
      <c r="Q13" s="142"/>
      <c r="R13" s="142"/>
      <c r="S13" s="126"/>
      <c r="T13" s="96"/>
      <c r="U13" s="96"/>
      <c r="V13" s="96"/>
      <c r="W13" s="96"/>
      <c r="X13" s="96"/>
      <c r="Y13" s="96"/>
      <c r="Z13" s="96"/>
      <c r="AA13" s="96"/>
    </row>
    <row r="14" spans="13:27" x14ac:dyDescent="0.25">
      <c r="M14" s="125"/>
      <c r="N14" s="142"/>
      <c r="O14" s="142"/>
      <c r="P14" s="142"/>
      <c r="Q14" s="142"/>
      <c r="R14" s="142"/>
      <c r="S14" s="126"/>
      <c r="T14" s="96"/>
      <c r="U14" s="96"/>
      <c r="V14" s="96"/>
      <c r="W14" s="96"/>
      <c r="X14" s="96"/>
      <c r="Y14" s="96"/>
      <c r="Z14" s="96"/>
      <c r="AA14" s="96"/>
    </row>
    <row r="15" spans="13:27" x14ac:dyDescent="0.25">
      <c r="M15" s="125"/>
      <c r="N15" s="142"/>
      <c r="O15" s="142"/>
      <c r="P15" s="142"/>
      <c r="Q15" s="142"/>
      <c r="R15" s="142"/>
      <c r="S15" s="126"/>
      <c r="T15" s="96"/>
      <c r="U15" s="96"/>
      <c r="V15" s="96"/>
      <c r="W15" s="96"/>
      <c r="X15" s="96"/>
      <c r="Y15" s="96"/>
      <c r="Z15" s="96"/>
      <c r="AA15" s="96"/>
    </row>
    <row r="16" spans="13:27" x14ac:dyDescent="0.25">
      <c r="M16" s="125"/>
      <c r="N16" s="142"/>
      <c r="O16" s="142"/>
      <c r="P16" s="142"/>
      <c r="Q16" s="142"/>
      <c r="R16" s="142"/>
      <c r="S16" s="126"/>
      <c r="T16" s="96"/>
      <c r="U16" s="96"/>
      <c r="V16" s="96"/>
      <c r="W16" s="96"/>
      <c r="X16" s="96"/>
      <c r="Y16" s="96"/>
      <c r="Z16" s="96"/>
      <c r="AA16" s="96"/>
    </row>
    <row r="17" spans="13:27" x14ac:dyDescent="0.25">
      <c r="M17" s="125"/>
      <c r="N17" s="142"/>
      <c r="O17" s="142"/>
      <c r="P17" s="142"/>
      <c r="Q17" s="142"/>
      <c r="R17" s="142"/>
      <c r="S17" s="126"/>
      <c r="T17" s="96"/>
      <c r="U17" s="96"/>
      <c r="V17" s="96"/>
      <c r="W17" s="96"/>
      <c r="X17" s="96"/>
      <c r="Y17" s="96"/>
      <c r="Z17" s="96"/>
      <c r="AA17" s="96"/>
    </row>
    <row r="18" spans="13:27" x14ac:dyDescent="0.25">
      <c r="M18" s="125"/>
      <c r="N18" s="142"/>
      <c r="O18" s="142"/>
      <c r="P18" s="142"/>
      <c r="Q18" s="142"/>
      <c r="R18" s="142"/>
      <c r="S18" s="126"/>
      <c r="T18" s="96"/>
      <c r="U18" s="96"/>
      <c r="V18" s="96"/>
      <c r="W18" s="96"/>
      <c r="X18" s="96"/>
      <c r="Y18" s="96"/>
      <c r="Z18" s="96"/>
      <c r="AA18" s="96"/>
    </row>
    <row r="19" spans="13:27" x14ac:dyDescent="0.25">
      <c r="M19" s="125"/>
      <c r="N19" s="142"/>
      <c r="O19" s="142"/>
      <c r="P19" s="142"/>
      <c r="Q19" s="142"/>
      <c r="R19" s="142"/>
      <c r="S19" s="126"/>
      <c r="T19" s="96"/>
      <c r="U19" s="96"/>
      <c r="V19" s="96"/>
      <c r="W19" s="96"/>
      <c r="X19" s="96"/>
      <c r="Y19" s="96"/>
      <c r="Z19" s="96"/>
      <c r="AA19" s="96"/>
    </row>
    <row r="20" spans="13:27" x14ac:dyDescent="0.25">
      <c r="M20" s="125"/>
      <c r="N20" s="142"/>
      <c r="O20" s="142"/>
      <c r="P20" s="142"/>
      <c r="Q20" s="142"/>
      <c r="R20" s="142"/>
      <c r="S20" s="126"/>
      <c r="T20" s="96"/>
      <c r="U20" s="96"/>
      <c r="V20" s="96"/>
      <c r="W20" s="96"/>
      <c r="X20" s="96"/>
      <c r="Y20" s="96"/>
      <c r="Z20" s="96"/>
      <c r="AA20" s="96"/>
    </row>
    <row r="21" spans="13:27" x14ac:dyDescent="0.25">
      <c r="M21" s="125"/>
      <c r="N21" s="142"/>
      <c r="O21" s="142"/>
      <c r="P21" s="142"/>
      <c r="Q21" s="142"/>
      <c r="R21" s="142"/>
      <c r="S21" s="126"/>
      <c r="T21" s="96"/>
      <c r="U21" s="96"/>
      <c r="V21" s="96"/>
      <c r="W21" s="96"/>
      <c r="X21" s="96"/>
      <c r="Y21" s="96"/>
      <c r="Z21" s="96"/>
      <c r="AA21" s="96"/>
    </row>
    <row r="22" spans="13:27" x14ac:dyDescent="0.25">
      <c r="M22" s="125"/>
      <c r="N22" s="142"/>
      <c r="O22" s="142"/>
      <c r="P22" s="142"/>
      <c r="Q22" s="142"/>
      <c r="R22" s="142"/>
      <c r="S22" s="126"/>
      <c r="T22" s="96"/>
      <c r="U22" s="96"/>
      <c r="V22" s="96"/>
      <c r="W22" s="96"/>
      <c r="X22" s="96"/>
      <c r="Y22" s="96"/>
      <c r="Z22" s="96"/>
      <c r="AA22" s="96"/>
    </row>
    <row r="23" spans="13:27" x14ac:dyDescent="0.25">
      <c r="M23" s="125"/>
      <c r="N23" s="142"/>
      <c r="O23" s="142"/>
      <c r="P23" s="142"/>
      <c r="Q23" s="142"/>
      <c r="R23" s="142"/>
      <c r="S23" s="126"/>
      <c r="T23" s="96"/>
      <c r="U23" s="96"/>
      <c r="V23" s="96"/>
      <c r="W23" s="96"/>
      <c r="X23" s="96"/>
      <c r="Y23" s="96"/>
      <c r="Z23" s="96"/>
      <c r="AA23" s="96"/>
    </row>
    <row r="24" spans="13:27" x14ac:dyDescent="0.25">
      <c r="M24" s="125"/>
      <c r="N24" s="142"/>
      <c r="O24" s="142"/>
      <c r="P24" s="142"/>
      <c r="Q24" s="142"/>
      <c r="R24" s="142"/>
      <c r="S24" s="126"/>
      <c r="T24" s="96"/>
      <c r="U24" s="96"/>
      <c r="V24" s="96"/>
      <c r="W24" s="96"/>
      <c r="X24" s="96"/>
      <c r="Y24" s="96"/>
      <c r="Z24" s="96"/>
      <c r="AA24" s="96"/>
    </row>
    <row r="25" spans="13:27" x14ac:dyDescent="0.25">
      <c r="M25" s="125"/>
      <c r="N25" s="142"/>
      <c r="O25" s="142"/>
      <c r="P25" s="142"/>
      <c r="Q25" s="142"/>
      <c r="R25" s="142"/>
      <c r="S25" s="126"/>
      <c r="T25" s="96"/>
      <c r="U25" s="96"/>
      <c r="V25" s="96"/>
      <c r="W25" s="96"/>
      <c r="X25" s="96"/>
      <c r="Y25" s="96"/>
      <c r="Z25" s="96"/>
      <c r="AA25" s="96"/>
    </row>
    <row r="26" spans="13:27" x14ac:dyDescent="0.25">
      <c r="M26" s="125"/>
      <c r="N26" s="142"/>
      <c r="O26" s="142"/>
      <c r="P26" s="142"/>
      <c r="Q26" s="142"/>
      <c r="R26" s="142"/>
      <c r="S26" s="126"/>
      <c r="T26" s="96"/>
      <c r="U26" s="96"/>
      <c r="V26" s="96"/>
      <c r="W26" s="96"/>
      <c r="X26" s="96"/>
      <c r="Y26" s="96"/>
      <c r="Z26" s="96"/>
      <c r="AA26" s="96"/>
    </row>
    <row r="27" spans="13:27" x14ac:dyDescent="0.25">
      <c r="M27" s="125"/>
      <c r="N27" s="142"/>
      <c r="O27" s="142"/>
      <c r="P27" s="142"/>
      <c r="Q27" s="142"/>
      <c r="R27" s="142"/>
      <c r="S27" s="126"/>
      <c r="T27" s="96"/>
      <c r="U27" s="96"/>
      <c r="V27" s="96"/>
      <c r="W27" s="96"/>
      <c r="X27" s="96"/>
      <c r="Y27" s="96"/>
      <c r="Z27" s="96"/>
      <c r="AA27" s="96"/>
    </row>
    <row r="28" spans="13:27" x14ac:dyDescent="0.25">
      <c r="M28" s="125"/>
      <c r="N28" s="142"/>
      <c r="O28" s="142"/>
      <c r="P28" s="142"/>
      <c r="Q28" s="142"/>
      <c r="R28" s="142"/>
      <c r="S28" s="126"/>
      <c r="T28" s="96"/>
      <c r="U28" s="96"/>
      <c r="V28" s="96"/>
      <c r="W28" s="96"/>
      <c r="X28" s="96"/>
      <c r="Y28" s="96"/>
      <c r="Z28" s="96"/>
      <c r="AA28" s="96"/>
    </row>
    <row r="29" spans="13:27" x14ac:dyDescent="0.25">
      <c r="M29" s="125"/>
      <c r="N29" s="142"/>
      <c r="O29" s="142"/>
      <c r="P29" s="142"/>
      <c r="Q29" s="142"/>
      <c r="R29" s="142"/>
      <c r="S29" s="126"/>
      <c r="T29" s="96"/>
      <c r="U29" s="96"/>
      <c r="V29" s="96"/>
      <c r="W29" s="96"/>
      <c r="X29" s="96"/>
      <c r="Y29" s="96"/>
      <c r="Z29" s="96"/>
      <c r="AA29" s="96"/>
    </row>
    <row r="30" spans="13:27" x14ac:dyDescent="0.25">
      <c r="M30" s="125"/>
      <c r="N30" s="142"/>
      <c r="O30" s="142"/>
      <c r="P30" s="142"/>
      <c r="Q30" s="142"/>
      <c r="R30" s="142"/>
      <c r="S30" s="126"/>
      <c r="T30" s="96"/>
      <c r="U30" s="96"/>
      <c r="V30" s="96"/>
      <c r="W30" s="96"/>
      <c r="X30" s="96"/>
      <c r="Y30" s="96"/>
      <c r="Z30" s="96"/>
      <c r="AA30" s="96"/>
    </row>
    <row r="31" spans="13:27" x14ac:dyDescent="0.25">
      <c r="M31" s="125"/>
      <c r="N31" s="142"/>
      <c r="O31" s="142"/>
      <c r="P31" s="142"/>
      <c r="Q31" s="142"/>
      <c r="R31" s="142"/>
      <c r="S31" s="126"/>
      <c r="T31" s="96"/>
      <c r="U31" s="96"/>
      <c r="V31" s="96"/>
      <c r="W31" s="96"/>
      <c r="X31" s="96"/>
      <c r="Y31" s="96"/>
      <c r="Z31" s="96"/>
      <c r="AA31" s="96"/>
    </row>
    <row r="32" spans="13:27" x14ac:dyDescent="0.25">
      <c r="M32" s="127"/>
      <c r="N32" s="143"/>
      <c r="O32" s="143"/>
      <c r="P32" s="143"/>
      <c r="Q32" s="143"/>
      <c r="R32" s="143"/>
      <c r="S32" s="128"/>
    </row>
  </sheetData>
  <mergeCells count="1">
    <mergeCell ref="M1:S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activeCell="R26" sqref="R26"/>
    </sheetView>
  </sheetViews>
  <sheetFormatPr defaultRowHeight="15" x14ac:dyDescent="0.25"/>
  <cols>
    <col min="8" max="8" width="11.28515625" customWidth="1"/>
    <col min="13" max="13" width="10" bestFit="1" customWidth="1"/>
  </cols>
  <sheetData>
    <row r="1" spans="1:18" x14ac:dyDescent="0.25">
      <c r="A1" s="30" t="s">
        <v>61</v>
      </c>
      <c r="B1" s="25"/>
      <c r="C1" s="25"/>
      <c r="D1" s="25"/>
      <c r="E1" s="26"/>
      <c r="G1" s="30" t="s">
        <v>62</v>
      </c>
      <c r="H1" s="25"/>
      <c r="I1" s="25"/>
      <c r="J1" s="25"/>
      <c r="K1" s="26"/>
      <c r="M1" s="12" t="s">
        <v>85</v>
      </c>
      <c r="N1" s="13" t="s">
        <v>80</v>
      </c>
      <c r="O1" s="13" t="s">
        <v>81</v>
      </c>
      <c r="P1" s="13" t="s">
        <v>82</v>
      </c>
      <c r="Q1" s="13" t="s">
        <v>83</v>
      </c>
    </row>
    <row r="2" spans="1:18" x14ac:dyDescent="0.25">
      <c r="A2" s="31" t="s">
        <v>63</v>
      </c>
      <c r="B2" s="32"/>
      <c r="C2" s="32"/>
      <c r="D2" s="33"/>
      <c r="E2" s="18"/>
      <c r="G2" s="31" t="s">
        <v>64</v>
      </c>
      <c r="H2" s="32"/>
      <c r="I2" s="33"/>
      <c r="J2" s="9"/>
      <c r="K2" s="18"/>
      <c r="M2" s="68" t="s">
        <v>72</v>
      </c>
      <c r="N2" s="48">
        <f t="shared" ref="N2:N7" si="0">J4</f>
        <v>85.632049999999992</v>
      </c>
      <c r="O2" s="69">
        <f t="shared" ref="O2:O7" si="1">E4*$J$10</f>
        <v>69.413795395203735</v>
      </c>
      <c r="P2" s="70">
        <f>(N2-O2)^2</f>
        <v>263.031782425995</v>
      </c>
      <c r="Q2" s="71">
        <f>P2/O2</f>
        <v>3.789330073776223</v>
      </c>
    </row>
    <row r="3" spans="1:18" x14ac:dyDescent="0.25">
      <c r="A3" s="13" t="s">
        <v>65</v>
      </c>
      <c r="B3" s="59" t="s">
        <v>66</v>
      </c>
      <c r="C3" s="58"/>
      <c r="D3" s="40"/>
      <c r="E3" s="49" t="s">
        <v>67</v>
      </c>
      <c r="G3" s="31" t="s">
        <v>68</v>
      </c>
      <c r="H3" s="32" t="s">
        <v>69</v>
      </c>
      <c r="I3" s="32"/>
      <c r="J3" s="32" t="s">
        <v>70</v>
      </c>
      <c r="K3" s="33"/>
      <c r="M3" s="60" t="s">
        <v>74</v>
      </c>
      <c r="N3" s="46">
        <f t="shared" si="0"/>
        <v>7.6702507957005697</v>
      </c>
      <c r="O3" s="61">
        <f t="shared" si="1"/>
        <v>8.2583841388644679</v>
      </c>
      <c r="P3" s="62">
        <f t="shared" ref="P3:P7" si="2">(N3-O3)^2</f>
        <v>0.34590082934114363</v>
      </c>
      <c r="Q3" s="63">
        <f t="shared" ref="Q3:Q7" si="3">P3/O3</f>
        <v>4.1884807430222687E-2</v>
      </c>
    </row>
    <row r="4" spans="1:18" x14ac:dyDescent="0.25">
      <c r="A4" s="34"/>
      <c r="B4" s="53" t="s">
        <v>71</v>
      </c>
      <c r="C4" s="35"/>
      <c r="D4" s="35"/>
      <c r="E4" s="50">
        <v>0.19</v>
      </c>
      <c r="G4" s="19"/>
      <c r="H4" s="23" t="s">
        <v>72</v>
      </c>
      <c r="I4" s="16"/>
      <c r="J4" s="36">
        <f>(395*E4)*1.141</f>
        <v>85.632049999999992</v>
      </c>
      <c r="K4" s="37"/>
      <c r="M4" s="60" t="s">
        <v>75</v>
      </c>
      <c r="N4" s="46">
        <f t="shared" si="0"/>
        <v>16.933309684875162</v>
      </c>
      <c r="O4" s="61">
        <f t="shared" si="1"/>
        <v>14.106493898093321</v>
      </c>
      <c r="P4" s="62">
        <f t="shared" si="2"/>
        <v>7.9908874923990405</v>
      </c>
      <c r="Q4" s="63">
        <f t="shared" si="3"/>
        <v>0.56646871647384434</v>
      </c>
    </row>
    <row r="5" spans="1:18" x14ac:dyDescent="0.25">
      <c r="A5" s="34"/>
      <c r="B5" s="53" t="s">
        <v>73</v>
      </c>
      <c r="C5" s="35"/>
      <c r="D5" s="35"/>
      <c r="E5" s="51">
        <f>E4*0.11897324</f>
        <v>2.2604915600000001E-2</v>
      </c>
      <c r="G5" s="19"/>
      <c r="H5" s="55" t="s">
        <v>74</v>
      </c>
      <c r="I5" s="16"/>
      <c r="J5" s="36">
        <f>(385*E5)*0.881345</f>
        <v>7.6702507957005697</v>
      </c>
      <c r="K5" s="37"/>
      <c r="M5" s="60" t="s">
        <v>77</v>
      </c>
      <c r="N5" s="46">
        <f t="shared" si="0"/>
        <v>36.517567300818293</v>
      </c>
      <c r="O5" s="61">
        <f t="shared" si="1"/>
        <v>25.72206310366132</v>
      </c>
      <c r="P5" s="62">
        <f t="shared" si="2"/>
        <v>116.54291087083381</v>
      </c>
      <c r="Q5" s="63">
        <f t="shared" si="3"/>
        <v>4.5308539366052987</v>
      </c>
    </row>
    <row r="6" spans="1:18" x14ac:dyDescent="0.25">
      <c r="A6" s="34"/>
      <c r="B6" s="53" t="s">
        <v>75</v>
      </c>
      <c r="C6" s="35"/>
      <c r="D6" s="35"/>
      <c r="E6" s="51">
        <f>E5*1.708142133</f>
        <v>3.8612408749268974E-2</v>
      </c>
      <c r="G6" s="19"/>
      <c r="H6" s="56" t="s">
        <v>75</v>
      </c>
      <c r="I6" s="16"/>
      <c r="J6" s="36">
        <f>(385*E6)*1.13908</f>
        <v>16.933309684875162</v>
      </c>
      <c r="K6" s="37"/>
      <c r="M6" s="60" t="s">
        <v>78</v>
      </c>
      <c r="N6" s="46">
        <f t="shared" si="0"/>
        <v>44.567603904109149</v>
      </c>
      <c r="O6" s="61">
        <f t="shared" si="1"/>
        <v>34.398886650419392</v>
      </c>
      <c r="P6" s="62">
        <f t="shared" si="2"/>
        <v>103.40281058548774</v>
      </c>
      <c r="Q6" s="63">
        <f t="shared" si="3"/>
        <v>3.0059929449555907</v>
      </c>
    </row>
    <row r="7" spans="1:18" x14ac:dyDescent="0.25">
      <c r="A7" s="34"/>
      <c r="B7" s="53" t="s">
        <v>76</v>
      </c>
      <c r="C7" s="35"/>
      <c r="D7" s="35"/>
      <c r="E7" s="51">
        <f>E6*1.82342</f>
        <v>7.0406638361592028E-2</v>
      </c>
      <c r="G7" s="19"/>
      <c r="H7" s="56" t="s">
        <v>77</v>
      </c>
      <c r="I7" s="16"/>
      <c r="J7" s="36">
        <f>(389*E7)*1.333333</f>
        <v>36.517567300818293</v>
      </c>
      <c r="K7" s="37"/>
      <c r="M7" s="64" t="s">
        <v>79</v>
      </c>
      <c r="N7" s="47">
        <f t="shared" si="0"/>
        <v>174.01498355241119</v>
      </c>
      <c r="O7" s="65">
        <f t="shared" si="1"/>
        <v>213.43614205167219</v>
      </c>
      <c r="P7" s="66">
        <f t="shared" si="2"/>
        <v>1554.0277374238576</v>
      </c>
      <c r="Q7" s="67">
        <f t="shared" si="3"/>
        <v>7.2809961915804893</v>
      </c>
    </row>
    <row r="8" spans="1:18" x14ac:dyDescent="0.25">
      <c r="A8" s="34"/>
      <c r="B8" s="53" t="s">
        <v>78</v>
      </c>
      <c r="C8" s="35"/>
      <c r="D8" s="35"/>
      <c r="E8" s="51">
        <f>E7*1.33733</f>
        <v>9.4156909680107856E-2</v>
      </c>
      <c r="G8" s="19"/>
      <c r="H8" s="56" t="s">
        <v>78</v>
      </c>
      <c r="I8" s="16"/>
      <c r="J8" s="36">
        <f>(355*E8)*1.333333333</f>
        <v>44.567603904109149</v>
      </c>
      <c r="K8" s="37"/>
    </row>
    <row r="9" spans="1:18" x14ac:dyDescent="0.25">
      <c r="A9" s="41"/>
      <c r="B9" s="54" t="s">
        <v>79</v>
      </c>
      <c r="C9" s="42"/>
      <c r="D9" s="42"/>
      <c r="E9" s="52">
        <f>1-E4-E5-E6-E7-E8</f>
        <v>0.58421912760903127</v>
      </c>
      <c r="G9" s="27"/>
      <c r="H9" s="57" t="s">
        <v>79</v>
      </c>
      <c r="I9" s="9"/>
      <c r="J9" s="38">
        <f>(E9*383)*0.7777</f>
        <v>174.01498355241119</v>
      </c>
      <c r="K9" s="39"/>
      <c r="M9" s="123" t="s">
        <v>86</v>
      </c>
      <c r="N9" s="141"/>
      <c r="O9" s="141"/>
      <c r="P9" s="141"/>
      <c r="Q9" s="141"/>
      <c r="R9" s="124"/>
    </row>
    <row r="10" spans="1:18" x14ac:dyDescent="0.25">
      <c r="E10" s="44">
        <f>SUM(E4:E9)</f>
        <v>1.0000000000000002</v>
      </c>
      <c r="G10" s="12" t="s">
        <v>84</v>
      </c>
      <c r="H10" s="32"/>
      <c r="I10" s="32"/>
      <c r="J10" s="43">
        <f>SUM(J4:J9)</f>
        <v>365.33576523791436</v>
      </c>
      <c r="K10" s="33"/>
      <c r="M10" s="125"/>
      <c r="N10" s="142"/>
      <c r="O10" s="142"/>
      <c r="P10" s="142"/>
      <c r="Q10" s="142"/>
      <c r="R10" s="126"/>
    </row>
    <row r="11" spans="1:18" x14ac:dyDescent="0.25">
      <c r="M11" s="125"/>
      <c r="N11" s="142"/>
      <c r="O11" s="142"/>
      <c r="P11" s="142"/>
      <c r="Q11" s="142"/>
      <c r="R11" s="126"/>
    </row>
    <row r="12" spans="1:18" x14ac:dyDescent="0.25">
      <c r="M12" s="125"/>
      <c r="N12" s="142"/>
      <c r="O12" s="142"/>
      <c r="P12" s="142"/>
      <c r="Q12" s="142"/>
      <c r="R12" s="126"/>
    </row>
    <row r="13" spans="1:18" x14ac:dyDescent="0.25">
      <c r="M13" s="125"/>
      <c r="N13" s="142"/>
      <c r="O13" s="142"/>
      <c r="P13" s="142"/>
      <c r="Q13" s="142"/>
      <c r="R13" s="126"/>
    </row>
    <row r="14" spans="1:18" x14ac:dyDescent="0.25">
      <c r="M14" s="125"/>
      <c r="N14" s="142"/>
      <c r="O14" s="142"/>
      <c r="P14" s="142"/>
      <c r="Q14" s="142"/>
      <c r="R14" s="126"/>
    </row>
    <row r="15" spans="1:18" x14ac:dyDescent="0.25">
      <c r="M15" s="125"/>
      <c r="N15" s="142"/>
      <c r="O15" s="142"/>
      <c r="P15" s="142"/>
      <c r="Q15" s="142"/>
      <c r="R15" s="126"/>
    </row>
    <row r="16" spans="1:18" x14ac:dyDescent="0.25">
      <c r="M16" s="127"/>
      <c r="N16" s="143"/>
      <c r="O16" s="143"/>
      <c r="P16" s="143"/>
      <c r="Q16" s="143"/>
      <c r="R16" s="128"/>
    </row>
  </sheetData>
  <mergeCells count="1">
    <mergeCell ref="M9:R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workbookViewId="0">
      <selection activeCell="P10" sqref="P10"/>
    </sheetView>
  </sheetViews>
  <sheetFormatPr defaultRowHeight="15" x14ac:dyDescent="0.25"/>
  <cols>
    <col min="1" max="1" width="18.5703125" bestFit="1" customWidth="1"/>
    <col min="3" max="3" width="11" bestFit="1" customWidth="1"/>
    <col min="5" max="5" width="20.85546875" bestFit="1" customWidth="1"/>
    <col min="8" max="8" width="11.42578125" customWidth="1"/>
  </cols>
  <sheetData>
    <row r="1" spans="1:16" x14ac:dyDescent="0.25">
      <c r="A1" s="135" t="s">
        <v>201</v>
      </c>
      <c r="B1" s="136"/>
      <c r="C1" s="136"/>
      <c r="D1" s="136"/>
      <c r="E1" s="136"/>
      <c r="F1" s="136"/>
      <c r="G1" s="136"/>
      <c r="H1" s="136"/>
      <c r="I1" s="136"/>
      <c r="J1" s="137"/>
    </row>
    <row r="2" spans="1:16" x14ac:dyDescent="0.25">
      <c r="A2" s="154" t="s">
        <v>91</v>
      </c>
      <c r="B2" s="155"/>
      <c r="C2" s="28">
        <v>2518099505.8558974</v>
      </c>
      <c r="D2" s="25"/>
      <c r="E2" s="113" t="s">
        <v>60</v>
      </c>
    </row>
    <row r="3" spans="1:16" x14ac:dyDescent="0.25">
      <c r="A3" s="156" t="s">
        <v>92</v>
      </c>
      <c r="B3" s="157"/>
      <c r="C3" s="28">
        <v>1694658090.4913166</v>
      </c>
      <c r="D3" s="16"/>
      <c r="E3" s="114" t="s">
        <v>93</v>
      </c>
    </row>
    <row r="4" spans="1:16" x14ac:dyDescent="0.25">
      <c r="A4" s="19"/>
      <c r="B4" s="30" t="s">
        <v>89</v>
      </c>
      <c r="C4" s="95">
        <f>C2/C3</f>
        <v>1.485904159656092</v>
      </c>
      <c r="D4" s="16"/>
      <c r="E4" s="17"/>
    </row>
    <row r="5" spans="1:16" x14ac:dyDescent="0.25">
      <c r="A5" s="19"/>
      <c r="B5" s="19" t="s">
        <v>90</v>
      </c>
      <c r="C5" s="17">
        <v>1.4656</v>
      </c>
      <c r="D5" s="16"/>
      <c r="E5" s="17"/>
    </row>
    <row r="6" spans="1:16" ht="15.75" customHeight="1" x14ac:dyDescent="0.25">
      <c r="A6" s="153" t="s">
        <v>202</v>
      </c>
      <c r="B6" s="153"/>
      <c r="C6" s="153"/>
      <c r="D6" s="153"/>
      <c r="E6" s="153"/>
      <c r="F6" s="153"/>
      <c r="G6" s="153"/>
      <c r="H6" s="153"/>
      <c r="I6" s="153"/>
      <c r="J6" s="153"/>
      <c r="P6" s="116"/>
    </row>
    <row r="7" spans="1:16" x14ac:dyDescent="0.25">
      <c r="A7" s="153"/>
      <c r="B7" s="153"/>
      <c r="C7" s="153"/>
      <c r="D7" s="153"/>
      <c r="E7" s="153"/>
      <c r="F7" s="153"/>
      <c r="G7" s="153"/>
      <c r="H7" s="153"/>
      <c r="I7" s="153"/>
      <c r="J7" s="153"/>
    </row>
    <row r="8" spans="1:16" x14ac:dyDescent="0.25">
      <c r="A8" s="153"/>
      <c r="B8" s="153"/>
      <c r="C8" s="153"/>
      <c r="D8" s="153"/>
      <c r="E8" s="153"/>
      <c r="F8" s="153"/>
      <c r="G8" s="153"/>
      <c r="H8" s="153"/>
      <c r="I8" s="153"/>
      <c r="J8" s="153"/>
    </row>
    <row r="9" spans="1:16" x14ac:dyDescent="0.25">
      <c r="A9" s="153"/>
      <c r="B9" s="153"/>
      <c r="C9" s="153"/>
      <c r="D9" s="153"/>
      <c r="E9" s="153"/>
      <c r="F9" s="153"/>
      <c r="G9" s="153"/>
      <c r="H9" s="153"/>
      <c r="I9" s="153"/>
      <c r="J9" s="153"/>
    </row>
    <row r="10" spans="1:16" x14ac:dyDescent="0.25">
      <c r="A10" s="153"/>
      <c r="B10" s="153"/>
      <c r="C10" s="153"/>
      <c r="D10" s="153"/>
      <c r="E10" s="153"/>
      <c r="F10" s="153"/>
      <c r="G10" s="153"/>
      <c r="H10" s="153"/>
      <c r="I10" s="153"/>
      <c r="J10" s="153"/>
    </row>
    <row r="14" spans="1:16" ht="15" customHeight="1" x14ac:dyDescent="0.25">
      <c r="A14" s="135" t="s">
        <v>88</v>
      </c>
      <c r="B14" s="136"/>
      <c r="C14" s="136"/>
      <c r="D14" s="136"/>
      <c r="E14" s="136"/>
      <c r="F14" s="136"/>
      <c r="G14" s="136"/>
      <c r="H14" s="136"/>
      <c r="I14" s="136"/>
      <c r="J14" s="137"/>
      <c r="L14" s="144" t="s">
        <v>206</v>
      </c>
      <c r="M14" s="145"/>
      <c r="N14" s="145"/>
      <c r="O14" s="146"/>
    </row>
    <row r="15" spans="1:16" ht="15" customHeight="1" x14ac:dyDescent="0.25">
      <c r="A15" s="14" t="s">
        <v>94</v>
      </c>
      <c r="B15" s="22" t="s">
        <v>47</v>
      </c>
      <c r="C15" s="20">
        <v>7704.222219682053</v>
      </c>
      <c r="D15" s="25"/>
      <c r="E15" s="14" t="s">
        <v>36</v>
      </c>
      <c r="F15" s="12">
        <f>(C15-C18)/(SQRT((C16/C17)+(C19/C20)))</f>
        <v>-4.5273623093283746</v>
      </c>
      <c r="G15" s="25"/>
      <c r="H15" s="25"/>
      <c r="I15" s="25"/>
      <c r="J15" s="26"/>
      <c r="L15" s="147"/>
      <c r="M15" s="148"/>
      <c r="N15" s="148"/>
      <c r="O15" s="149"/>
    </row>
    <row r="16" spans="1:16" ht="15" customHeight="1" x14ac:dyDescent="0.25">
      <c r="A16" s="14" t="s">
        <v>48</v>
      </c>
      <c r="B16" s="22" t="s">
        <v>49</v>
      </c>
      <c r="C16" s="20">
        <v>2842732.1049660346</v>
      </c>
      <c r="D16" s="16"/>
      <c r="E16" s="14" t="s">
        <v>50</v>
      </c>
      <c r="F16" s="23">
        <f>C17+C20-2</f>
        <v>148</v>
      </c>
      <c r="G16" s="16"/>
      <c r="H16" s="16"/>
      <c r="I16" s="16"/>
      <c r="J16" s="17"/>
      <c r="L16" s="147"/>
      <c r="M16" s="148"/>
      <c r="N16" s="148"/>
      <c r="O16" s="149"/>
    </row>
    <row r="17" spans="1:15" ht="15" customHeight="1" x14ac:dyDescent="0.25">
      <c r="A17" s="14" t="s">
        <v>51</v>
      </c>
      <c r="B17" s="22" t="s">
        <v>52</v>
      </c>
      <c r="C17" s="12">
        <v>75</v>
      </c>
      <c r="D17" s="16"/>
      <c r="E17" s="14" t="s">
        <v>53</v>
      </c>
      <c r="F17" s="11">
        <f>(C18-C15)-(C21*(SQRT((C16/C17)+(C19/C20))))</f>
        <v>873.78832815032399</v>
      </c>
      <c r="G17" s="13" t="s">
        <v>45</v>
      </c>
      <c r="H17" s="11">
        <f>C18-C15</f>
        <v>1540.8640723691678</v>
      </c>
      <c r="I17" s="13" t="s">
        <v>45</v>
      </c>
      <c r="J17" s="13">
        <f>(C18-C15)+(C21*(SQRT((C16/C17)+(C19/C20))))</f>
        <v>2207.9398165880116</v>
      </c>
      <c r="L17" s="147"/>
      <c r="M17" s="148"/>
      <c r="N17" s="148"/>
      <c r="O17" s="149"/>
    </row>
    <row r="18" spans="1:15" ht="15" customHeight="1" x14ac:dyDescent="0.25">
      <c r="A18" s="14" t="s">
        <v>95</v>
      </c>
      <c r="B18" s="22" t="s">
        <v>54</v>
      </c>
      <c r="C18" s="20">
        <v>9245.0862920512209</v>
      </c>
      <c r="D18" s="16"/>
      <c r="E18" s="16"/>
      <c r="F18" s="16"/>
      <c r="G18" s="16"/>
      <c r="H18" s="16"/>
      <c r="I18" s="16"/>
      <c r="J18" s="17"/>
      <c r="L18" s="147"/>
      <c r="M18" s="148"/>
      <c r="N18" s="148"/>
      <c r="O18" s="149"/>
    </row>
    <row r="19" spans="1:15" ht="15" customHeight="1" x14ac:dyDescent="0.25">
      <c r="A19" s="14" t="s">
        <v>48</v>
      </c>
      <c r="B19" s="22" t="s">
        <v>55</v>
      </c>
      <c r="C19" s="20">
        <v>5844859.9502672888</v>
      </c>
      <c r="D19" s="16"/>
      <c r="E19" s="16"/>
      <c r="F19" s="16"/>
      <c r="G19" s="16"/>
      <c r="H19" s="16"/>
      <c r="I19" s="16"/>
      <c r="J19" s="17"/>
      <c r="L19" s="147"/>
      <c r="M19" s="148"/>
      <c r="N19" s="148"/>
      <c r="O19" s="149"/>
    </row>
    <row r="20" spans="1:15" ht="15" customHeight="1" x14ac:dyDescent="0.25">
      <c r="A20" s="14" t="s">
        <v>51</v>
      </c>
      <c r="B20" s="22" t="s">
        <v>56</v>
      </c>
      <c r="C20" s="12">
        <v>75</v>
      </c>
      <c r="D20" s="16"/>
      <c r="E20" s="29" t="s">
        <v>59</v>
      </c>
      <c r="F20" s="111" t="s">
        <v>169</v>
      </c>
      <c r="G20" s="112" t="s">
        <v>60</v>
      </c>
      <c r="H20" s="112"/>
      <c r="I20" s="16"/>
      <c r="J20" s="17"/>
      <c r="L20" s="147"/>
      <c r="M20" s="148"/>
      <c r="N20" s="148"/>
      <c r="O20" s="149"/>
    </row>
    <row r="21" spans="1:15" ht="15" customHeight="1" x14ac:dyDescent="0.25">
      <c r="A21" s="14" t="s">
        <v>57</v>
      </c>
      <c r="B21" s="90" t="s">
        <v>58</v>
      </c>
      <c r="C21" s="24">
        <v>1.96</v>
      </c>
      <c r="D21" s="16"/>
      <c r="E21" s="16"/>
      <c r="F21" s="16"/>
      <c r="G21" s="16"/>
      <c r="H21" s="16"/>
      <c r="I21" s="16"/>
      <c r="J21" s="17"/>
      <c r="L21" s="147"/>
      <c r="M21" s="148"/>
      <c r="N21" s="148"/>
      <c r="O21" s="149"/>
    </row>
    <row r="22" spans="1:15" ht="15" customHeight="1" x14ac:dyDescent="0.25">
      <c r="A22" s="27"/>
      <c r="B22" s="9"/>
      <c r="C22" s="9"/>
      <c r="D22" s="9"/>
      <c r="E22" s="9"/>
      <c r="F22" s="9"/>
      <c r="G22" s="9"/>
      <c r="H22" s="9"/>
      <c r="I22" s="9"/>
      <c r="J22" s="18"/>
      <c r="L22" s="147"/>
      <c r="M22" s="148"/>
      <c r="N22" s="148"/>
      <c r="O22" s="149"/>
    </row>
    <row r="23" spans="1:15" ht="15" customHeight="1" x14ac:dyDescent="0.25">
      <c r="L23" s="150"/>
      <c r="M23" s="151"/>
      <c r="N23" s="151"/>
      <c r="O23" s="152"/>
    </row>
    <row r="24" spans="1:15" ht="15" customHeight="1" x14ac:dyDescent="0.25">
      <c r="A24" s="153" t="s">
        <v>203</v>
      </c>
      <c r="B24" s="153"/>
      <c r="C24" s="153"/>
      <c r="D24" s="153"/>
      <c r="E24" s="153"/>
      <c r="F24" s="153"/>
      <c r="G24" s="153"/>
      <c r="H24" s="153"/>
      <c r="I24" s="153"/>
      <c r="J24" s="153"/>
    </row>
    <row r="25" spans="1:15" ht="15" customHeight="1" x14ac:dyDescent="0.25">
      <c r="A25" s="153"/>
      <c r="B25" s="153"/>
      <c r="C25" s="153"/>
      <c r="D25" s="153"/>
      <c r="E25" s="153"/>
      <c r="F25" s="153"/>
      <c r="G25" s="153"/>
      <c r="H25" s="153"/>
      <c r="I25" s="153"/>
      <c r="J25" s="153"/>
    </row>
    <row r="26" spans="1:15" ht="15" customHeight="1" x14ac:dyDescent="0.25">
      <c r="A26" s="153"/>
      <c r="B26" s="153"/>
      <c r="C26" s="153"/>
      <c r="D26" s="153"/>
      <c r="E26" s="153"/>
      <c r="F26" s="153"/>
      <c r="G26" s="153"/>
      <c r="H26" s="153"/>
      <c r="I26" s="153"/>
      <c r="J26" s="153"/>
    </row>
    <row r="27" spans="1:15" ht="15" customHeight="1" x14ac:dyDescent="0.25">
      <c r="A27" s="153"/>
      <c r="B27" s="153"/>
      <c r="C27" s="153"/>
      <c r="D27" s="153"/>
      <c r="E27" s="153"/>
      <c r="F27" s="153"/>
      <c r="G27" s="153"/>
      <c r="H27" s="153"/>
      <c r="I27" s="153"/>
      <c r="J27" s="153"/>
    </row>
    <row r="28" spans="1:15" ht="15" customHeight="1" x14ac:dyDescent="0.25">
      <c r="A28" s="153"/>
      <c r="B28" s="153"/>
      <c r="C28" s="153"/>
      <c r="D28" s="153"/>
      <c r="E28" s="153"/>
      <c r="F28" s="153"/>
      <c r="G28" s="153"/>
      <c r="H28" s="153"/>
      <c r="I28" s="153"/>
      <c r="J28" s="153"/>
    </row>
  </sheetData>
  <mergeCells count="7">
    <mergeCell ref="L14:O23"/>
    <mergeCell ref="A24:J28"/>
    <mergeCell ref="A1:J1"/>
    <mergeCell ref="A14:J14"/>
    <mergeCell ref="A2:B2"/>
    <mergeCell ref="A3:B3"/>
    <mergeCell ref="A6:J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workbookViewId="0">
      <selection activeCell="J29" sqref="J29"/>
    </sheetView>
  </sheetViews>
  <sheetFormatPr defaultRowHeight="15" x14ac:dyDescent="0.25"/>
  <cols>
    <col min="1" max="1" width="11.42578125" bestFit="1" customWidth="1"/>
    <col min="2" max="2" width="16.7109375" customWidth="1"/>
    <col min="3" max="3" width="16.140625" customWidth="1"/>
    <col min="4" max="4" width="13.140625" bestFit="1" customWidth="1"/>
    <col min="5" max="5" width="10.5703125" bestFit="1" customWidth="1"/>
    <col min="6" max="6" width="14.28515625" bestFit="1" customWidth="1"/>
    <col min="8" max="8" width="7.140625" bestFit="1" customWidth="1"/>
  </cols>
  <sheetData>
    <row r="1" spans="1:19" ht="15" customHeight="1" x14ac:dyDescent="0.25">
      <c r="A1" s="158" t="s">
        <v>195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60"/>
    </row>
    <row r="2" spans="1:19" x14ac:dyDescent="0.25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3"/>
    </row>
    <row r="3" spans="1:19" x14ac:dyDescent="0.25">
      <c r="A3" s="164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6"/>
    </row>
    <row r="4" spans="1:19" x14ac:dyDescent="0.25">
      <c r="A4" s="168"/>
      <c r="B4" s="106" t="s">
        <v>176</v>
      </c>
      <c r="C4" s="106" t="s">
        <v>177</v>
      </c>
      <c r="D4" s="106" t="s">
        <v>196</v>
      </c>
      <c r="E4" s="106" t="s">
        <v>178</v>
      </c>
      <c r="F4" s="106" t="s">
        <v>197</v>
      </c>
      <c r="G4" s="106" t="s">
        <v>179</v>
      </c>
      <c r="H4" s="106" t="s">
        <v>180</v>
      </c>
      <c r="I4" s="106" t="s">
        <v>181</v>
      </c>
    </row>
    <row r="5" spans="1:19" x14ac:dyDescent="0.25">
      <c r="A5" s="169"/>
      <c r="B5" s="106" t="s">
        <v>182</v>
      </c>
      <c r="C5" s="106" t="s">
        <v>183</v>
      </c>
      <c r="D5" s="106" t="s">
        <v>184</v>
      </c>
      <c r="E5" s="106" t="s">
        <v>185</v>
      </c>
      <c r="F5" s="106" t="s">
        <v>186</v>
      </c>
      <c r="G5" s="106" t="s">
        <v>187</v>
      </c>
      <c r="H5" s="106" t="s">
        <v>178</v>
      </c>
      <c r="I5" s="106" t="s">
        <v>188</v>
      </c>
      <c r="L5" s="123" t="s">
        <v>198</v>
      </c>
      <c r="M5" s="141"/>
      <c r="N5" s="141"/>
      <c r="O5" s="141"/>
      <c r="P5" s="141"/>
      <c r="Q5" s="141"/>
      <c r="R5" s="141"/>
      <c r="S5" s="124"/>
    </row>
    <row r="6" spans="1:19" x14ac:dyDescent="0.25">
      <c r="A6" s="170" t="s">
        <v>189</v>
      </c>
      <c r="B6" s="99">
        <v>39</v>
      </c>
      <c r="C6" s="99">
        <f>B6*1.3355</f>
        <v>52.084499999999998</v>
      </c>
      <c r="D6" s="99">
        <f>C6*1.121</f>
        <v>58.3867245</v>
      </c>
      <c r="E6" s="99">
        <f>B8*1.5567</f>
        <v>43.712135999999994</v>
      </c>
      <c r="F6" s="101">
        <f>B6*0.45662</f>
        <v>17.80818</v>
      </c>
      <c r="G6" s="99">
        <f>C6*0.8733353</f>
        <v>45.48723243285</v>
      </c>
      <c r="H6" s="99">
        <f>D6*0.883</f>
        <v>51.555477733499998</v>
      </c>
      <c r="I6" s="97">
        <f>B6*1.33</f>
        <v>51.870000000000005</v>
      </c>
      <c r="J6" s="167">
        <v>360</v>
      </c>
      <c r="L6" s="125"/>
      <c r="M6" s="142"/>
      <c r="N6" s="142"/>
      <c r="O6" s="142"/>
      <c r="P6" s="142"/>
      <c r="Q6" s="142"/>
      <c r="R6" s="142"/>
      <c r="S6" s="126"/>
    </row>
    <row r="7" spans="1:19" x14ac:dyDescent="0.25">
      <c r="A7" s="171"/>
      <c r="B7" s="100">
        <v>27.26</v>
      </c>
      <c r="C7" s="100">
        <v>35.119999999999997</v>
      </c>
      <c r="D7" s="100">
        <v>51.77</v>
      </c>
      <c r="E7" s="100">
        <v>32.380000000000003</v>
      </c>
      <c r="F7" s="102">
        <v>55.98</v>
      </c>
      <c r="G7" s="100">
        <v>51.04</v>
      </c>
      <c r="H7" s="100">
        <v>51.22</v>
      </c>
      <c r="I7" s="98">
        <v>55.24</v>
      </c>
      <c r="J7" s="167"/>
      <c r="L7" s="125"/>
      <c r="M7" s="142"/>
      <c r="N7" s="142"/>
      <c r="O7" s="142"/>
      <c r="P7" s="142"/>
      <c r="Q7" s="142"/>
      <c r="R7" s="142"/>
      <c r="S7" s="126"/>
    </row>
    <row r="8" spans="1:19" x14ac:dyDescent="0.25">
      <c r="A8" s="170" t="s">
        <v>190</v>
      </c>
      <c r="B8" s="99">
        <f>B6*0.72</f>
        <v>28.08</v>
      </c>
      <c r="C8" s="99">
        <f>C6*0.7734</f>
        <v>40.2821523</v>
      </c>
      <c r="D8" s="99">
        <f>D6*1.02</f>
        <v>59.554458990000001</v>
      </c>
      <c r="E8" s="99">
        <f>C8*0.732254</f>
        <v>29.496767150284199</v>
      </c>
      <c r="F8" s="101">
        <f>(B8*0.30121)*10</f>
        <v>84.579767999999987</v>
      </c>
      <c r="G8" s="99">
        <f>C8*1.033321</f>
        <v>41.624393896788298</v>
      </c>
      <c r="H8" s="99">
        <f>C8*1.21</f>
        <v>48.741404283000001</v>
      </c>
      <c r="I8" s="97">
        <f>B8*1.38791231</f>
        <v>38.972577664799992</v>
      </c>
      <c r="J8" s="167">
        <v>372</v>
      </c>
      <c r="L8" s="125"/>
      <c r="M8" s="142"/>
      <c r="N8" s="142"/>
      <c r="O8" s="142"/>
      <c r="P8" s="142"/>
      <c r="Q8" s="142"/>
      <c r="R8" s="142"/>
      <c r="S8" s="126"/>
    </row>
    <row r="9" spans="1:19" x14ac:dyDescent="0.25">
      <c r="A9" s="171"/>
      <c r="B9" s="100">
        <v>28.16</v>
      </c>
      <c r="C9" s="100">
        <v>36.29</v>
      </c>
      <c r="D9" s="100">
        <v>53.49</v>
      </c>
      <c r="E9" s="100">
        <v>33.46</v>
      </c>
      <c r="F9" s="102">
        <v>57.84</v>
      </c>
      <c r="G9" s="100">
        <v>52.74</v>
      </c>
      <c r="H9" s="100">
        <v>52.93</v>
      </c>
      <c r="I9" s="98">
        <v>57.09</v>
      </c>
      <c r="J9" s="167">
        <v>372</v>
      </c>
      <c r="L9" s="125"/>
      <c r="M9" s="142"/>
      <c r="N9" s="142"/>
      <c r="O9" s="142"/>
      <c r="P9" s="142"/>
      <c r="Q9" s="142"/>
      <c r="R9" s="142"/>
      <c r="S9" s="126"/>
    </row>
    <row r="10" spans="1:19" x14ac:dyDescent="0.25">
      <c r="A10" s="170" t="s">
        <v>191</v>
      </c>
      <c r="B10" s="99">
        <f>B8*1.033</f>
        <v>29.006639999999997</v>
      </c>
      <c r="C10" s="101">
        <f>C8*1.167</f>
        <v>47.009271734100004</v>
      </c>
      <c r="D10" s="99">
        <f>D8*0.834</f>
        <v>49.668418797659996</v>
      </c>
      <c r="E10" s="99">
        <f>D8*0.551</f>
        <v>32.814506903490006</v>
      </c>
      <c r="F10" s="99">
        <f>(B10*0.21011)*10</f>
        <v>60.945851303999994</v>
      </c>
      <c r="G10" s="99">
        <f>C6*0.912314</f>
        <v>47.517418532999997</v>
      </c>
      <c r="H10" s="99">
        <f>H6*0.887312</f>
        <v>45.74579405866735</v>
      </c>
      <c r="I10" s="97">
        <f>G10*1.17758</f>
        <v>55.955561716090138</v>
      </c>
      <c r="J10" s="167">
        <v>370</v>
      </c>
      <c r="L10" s="125"/>
      <c r="M10" s="142"/>
      <c r="N10" s="142"/>
      <c r="O10" s="142"/>
      <c r="P10" s="142"/>
      <c r="Q10" s="142"/>
      <c r="R10" s="142"/>
      <c r="S10" s="126"/>
    </row>
    <row r="11" spans="1:19" x14ac:dyDescent="0.25">
      <c r="A11" s="171"/>
      <c r="B11" s="100">
        <v>28.01</v>
      </c>
      <c r="C11" s="102">
        <v>36.1</v>
      </c>
      <c r="D11" s="100">
        <v>53.21</v>
      </c>
      <c r="E11" s="100">
        <v>33.28</v>
      </c>
      <c r="F11" s="100">
        <v>57.53</v>
      </c>
      <c r="G11" s="100">
        <v>52.45</v>
      </c>
      <c r="H11" s="100">
        <v>52.64</v>
      </c>
      <c r="I11" s="98">
        <v>56.78</v>
      </c>
      <c r="J11" s="167">
        <v>370</v>
      </c>
      <c r="L11" s="125"/>
      <c r="M11" s="142"/>
      <c r="N11" s="142"/>
      <c r="O11" s="142"/>
      <c r="P11" s="142"/>
      <c r="Q11" s="142"/>
      <c r="R11" s="142"/>
      <c r="S11" s="126"/>
    </row>
    <row r="12" spans="1:19" x14ac:dyDescent="0.25">
      <c r="A12" s="170" t="s">
        <v>192</v>
      </c>
      <c r="B12" s="99">
        <f>B6*0.3821</f>
        <v>14.901899999999999</v>
      </c>
      <c r="C12" s="101">
        <f>C6*0.3742</f>
        <v>19.490019899999997</v>
      </c>
      <c r="D12" s="101">
        <f>D10*1.12</f>
        <v>55.6286290533792</v>
      </c>
      <c r="E12" s="99">
        <f>C12*1.05555</f>
        <v>20.572690505444996</v>
      </c>
      <c r="F12" s="99">
        <f>(B12*0.3321)*10</f>
        <v>49.489209899999992</v>
      </c>
      <c r="G12" s="99">
        <f>G6*1.042542</f>
        <v>47.422350275008306</v>
      </c>
      <c r="H12" s="99">
        <f>H10*0.9121313</f>
        <v>41.726170604264524</v>
      </c>
      <c r="I12" s="103">
        <f>I10*1.05</f>
        <v>58.753339801894647</v>
      </c>
      <c r="J12" s="167">
        <v>308</v>
      </c>
      <c r="L12" s="125"/>
      <c r="M12" s="142"/>
      <c r="N12" s="142"/>
      <c r="O12" s="142"/>
      <c r="P12" s="142"/>
      <c r="Q12" s="142"/>
      <c r="R12" s="142"/>
      <c r="S12" s="126"/>
    </row>
    <row r="13" spans="1:19" x14ac:dyDescent="0.25">
      <c r="A13" s="171"/>
      <c r="B13" s="100">
        <v>23.32</v>
      </c>
      <c r="C13" s="102">
        <v>30.05</v>
      </c>
      <c r="D13" s="102">
        <v>44.29</v>
      </c>
      <c r="E13" s="100">
        <v>27.7</v>
      </c>
      <c r="F13" s="100">
        <v>47.89</v>
      </c>
      <c r="G13" s="100">
        <v>43.66</v>
      </c>
      <c r="H13" s="100">
        <v>43.82</v>
      </c>
      <c r="I13" s="104">
        <v>47.26</v>
      </c>
      <c r="J13" s="167">
        <v>275</v>
      </c>
      <c r="L13" s="125"/>
      <c r="M13" s="142"/>
      <c r="N13" s="142"/>
      <c r="O13" s="142"/>
      <c r="P13" s="142"/>
      <c r="Q13" s="142"/>
      <c r="R13" s="142"/>
      <c r="S13" s="126"/>
    </row>
    <row r="14" spans="1:19" x14ac:dyDescent="0.25">
      <c r="A14" s="170" t="s">
        <v>193</v>
      </c>
      <c r="B14" s="99">
        <f>B12*1.089</f>
        <v>16.228169099999999</v>
      </c>
      <c r="C14" s="99">
        <f>C12*0.83353</f>
        <v>16.245516287246996</v>
      </c>
      <c r="D14" s="99">
        <f>D12*0.7735</f>
        <v>43.02874457278881</v>
      </c>
      <c r="E14" s="99">
        <f>E8*0.8989</f>
        <v>26.514643991390468</v>
      </c>
      <c r="F14" s="101">
        <f>(B14*0.3355)*10</f>
        <v>54.4455073305</v>
      </c>
      <c r="G14" s="99">
        <f>C14*2.397755</f>
        <v>38.952767905327924</v>
      </c>
      <c r="H14" s="99">
        <f>H12*0.89898</f>
        <v>37.510992849821719</v>
      </c>
      <c r="I14" s="97">
        <f>D14*0.987</f>
        <v>42.469370893342557</v>
      </c>
      <c r="J14" s="167">
        <v>275</v>
      </c>
      <c r="L14" s="125"/>
      <c r="M14" s="142"/>
      <c r="N14" s="142"/>
      <c r="O14" s="142"/>
      <c r="P14" s="142"/>
      <c r="Q14" s="142"/>
      <c r="R14" s="142"/>
      <c r="S14" s="126"/>
    </row>
    <row r="15" spans="1:19" x14ac:dyDescent="0.25">
      <c r="A15" s="171"/>
      <c r="B15" s="100">
        <v>20.82</v>
      </c>
      <c r="C15" s="100">
        <v>26.83</v>
      </c>
      <c r="D15" s="100">
        <v>39.549999999999997</v>
      </c>
      <c r="E15" s="100">
        <v>24.73</v>
      </c>
      <c r="F15" s="102">
        <v>42.76</v>
      </c>
      <c r="G15" s="100">
        <v>38.99</v>
      </c>
      <c r="H15" s="100">
        <v>39.130000000000003</v>
      </c>
      <c r="I15" s="98">
        <v>42.2</v>
      </c>
      <c r="J15" s="167">
        <v>209</v>
      </c>
      <c r="L15" s="125"/>
      <c r="M15" s="142"/>
      <c r="N15" s="142"/>
      <c r="O15" s="142"/>
      <c r="P15" s="142"/>
      <c r="Q15" s="142"/>
      <c r="R15" s="142"/>
      <c r="S15" s="126"/>
    </row>
    <row r="16" spans="1:19" x14ac:dyDescent="0.25">
      <c r="A16" s="170" t="s">
        <v>194</v>
      </c>
      <c r="B16" s="99">
        <f>B6*0.55686</f>
        <v>21.71754</v>
      </c>
      <c r="C16" s="99">
        <f>C14*1.0911753</f>
        <v>17.726706108391628</v>
      </c>
      <c r="D16" s="101">
        <f>D14*0.37526</f>
        <v>16.14696668838473</v>
      </c>
      <c r="E16" s="99">
        <f>E14*0.87654325555</f>
        <v>23.241232363962649</v>
      </c>
      <c r="F16" s="99">
        <f>(B16*0.178454)*10</f>
        <v>38.755818831600003</v>
      </c>
      <c r="G16" s="99">
        <f>G6*1.27</f>
        <v>57.768785189719502</v>
      </c>
      <c r="H16" s="99">
        <f>H8*1.07878787</f>
        <v>52.58163570726645</v>
      </c>
      <c r="I16" s="97">
        <f>I14*1.2712</f>
        <v>53.987064279617066</v>
      </c>
      <c r="J16" s="167">
        <v>283</v>
      </c>
      <c r="L16" s="125"/>
      <c r="M16" s="142"/>
      <c r="N16" s="142"/>
      <c r="O16" s="142"/>
      <c r="P16" s="142"/>
      <c r="Q16" s="142"/>
      <c r="R16" s="142"/>
      <c r="S16" s="126"/>
    </row>
    <row r="17" spans="1:19" x14ac:dyDescent="0.25">
      <c r="A17" s="171"/>
      <c r="B17" s="54">
        <v>21.43</v>
      </c>
      <c r="C17" s="54">
        <v>27.61</v>
      </c>
      <c r="D17" s="105">
        <v>40.700000000000003</v>
      </c>
      <c r="E17" s="54">
        <v>25.45</v>
      </c>
      <c r="F17" s="54">
        <v>44</v>
      </c>
      <c r="G17" s="54">
        <v>40.119999999999997</v>
      </c>
      <c r="H17" s="54">
        <v>40.26</v>
      </c>
      <c r="I17" s="82">
        <v>43.43</v>
      </c>
      <c r="J17" s="167">
        <v>77</v>
      </c>
      <c r="L17" s="125"/>
      <c r="M17" s="142"/>
      <c r="N17" s="142"/>
      <c r="O17" s="142"/>
      <c r="P17" s="142"/>
      <c r="Q17" s="142"/>
      <c r="R17" s="142"/>
      <c r="S17" s="126"/>
    </row>
    <row r="18" spans="1:19" x14ac:dyDescent="0.25">
      <c r="B18" s="107">
        <v>149</v>
      </c>
      <c r="C18" s="108">
        <v>192</v>
      </c>
      <c r="D18" s="108">
        <v>283</v>
      </c>
      <c r="E18" s="108">
        <v>177</v>
      </c>
      <c r="F18" s="108">
        <v>306</v>
      </c>
      <c r="G18" s="108">
        <v>279</v>
      </c>
      <c r="H18" s="108">
        <v>280</v>
      </c>
      <c r="I18" s="109">
        <v>302</v>
      </c>
      <c r="J18" s="110">
        <v>1968</v>
      </c>
      <c r="L18" s="125"/>
      <c r="M18" s="142"/>
      <c r="N18" s="142"/>
      <c r="O18" s="142"/>
      <c r="P18" s="142"/>
      <c r="Q18" s="142"/>
      <c r="R18" s="142"/>
      <c r="S18" s="126"/>
    </row>
    <row r="19" spans="1:19" x14ac:dyDescent="0.25">
      <c r="L19" s="125"/>
      <c r="M19" s="142"/>
      <c r="N19" s="142"/>
      <c r="O19" s="142"/>
      <c r="P19" s="142"/>
      <c r="Q19" s="142"/>
      <c r="R19" s="142"/>
      <c r="S19" s="126"/>
    </row>
    <row r="20" spans="1:19" x14ac:dyDescent="0.25">
      <c r="L20" s="125"/>
      <c r="M20" s="142"/>
      <c r="N20" s="142"/>
      <c r="O20" s="142"/>
      <c r="P20" s="142"/>
      <c r="Q20" s="142"/>
      <c r="R20" s="142"/>
      <c r="S20" s="126"/>
    </row>
    <row r="21" spans="1:19" x14ac:dyDescent="0.25">
      <c r="L21" s="125"/>
      <c r="M21" s="142"/>
      <c r="N21" s="142"/>
      <c r="O21" s="142"/>
      <c r="P21" s="142"/>
      <c r="Q21" s="142"/>
      <c r="R21" s="142"/>
      <c r="S21" s="126"/>
    </row>
    <row r="22" spans="1:19" x14ac:dyDescent="0.25">
      <c r="L22" s="125"/>
      <c r="M22" s="142"/>
      <c r="N22" s="142"/>
      <c r="O22" s="142"/>
      <c r="P22" s="142"/>
      <c r="Q22" s="142"/>
      <c r="R22" s="142"/>
      <c r="S22" s="126"/>
    </row>
    <row r="23" spans="1:19" x14ac:dyDescent="0.25">
      <c r="L23" s="125"/>
      <c r="M23" s="142"/>
      <c r="N23" s="142"/>
      <c r="O23" s="142"/>
      <c r="P23" s="142"/>
      <c r="Q23" s="142"/>
      <c r="R23" s="142"/>
      <c r="S23" s="126"/>
    </row>
    <row r="24" spans="1:19" x14ac:dyDescent="0.25">
      <c r="L24" s="127"/>
      <c r="M24" s="143"/>
      <c r="N24" s="143"/>
      <c r="O24" s="143"/>
      <c r="P24" s="143"/>
      <c r="Q24" s="143"/>
      <c r="R24" s="143"/>
      <c r="S24" s="128"/>
    </row>
  </sheetData>
  <mergeCells count="15">
    <mergeCell ref="A1:L3"/>
    <mergeCell ref="L5:S24"/>
    <mergeCell ref="J14:J15"/>
    <mergeCell ref="J16:J17"/>
    <mergeCell ref="A4:A5"/>
    <mergeCell ref="A6:A7"/>
    <mergeCell ref="A8:A9"/>
    <mergeCell ref="A10:A11"/>
    <mergeCell ref="A12:A13"/>
    <mergeCell ref="A14:A15"/>
    <mergeCell ref="A16:A17"/>
    <mergeCell ref="J6:J7"/>
    <mergeCell ref="J8:J9"/>
    <mergeCell ref="J10:J11"/>
    <mergeCell ref="J12:J1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>
      <selection activeCell="Q12" sqref="Q12"/>
    </sheetView>
  </sheetViews>
  <sheetFormatPr defaultRowHeight="15" x14ac:dyDescent="0.25"/>
  <cols>
    <col min="1" max="1" width="10.5703125" bestFit="1" customWidth="1"/>
    <col min="6" max="6" width="19.140625" bestFit="1" customWidth="1"/>
  </cols>
  <sheetData>
    <row r="1" spans="1:10" x14ac:dyDescent="0.25">
      <c r="A1" s="13" t="s">
        <v>96</v>
      </c>
      <c r="B1" s="73" t="s">
        <v>97</v>
      </c>
      <c r="C1" s="73" t="s">
        <v>98</v>
      </c>
      <c r="D1" s="58" t="s">
        <v>99</v>
      </c>
    </row>
    <row r="2" spans="1:10" x14ac:dyDescent="0.25">
      <c r="A2" s="74" t="s">
        <v>100</v>
      </c>
      <c r="B2" s="75">
        <v>119</v>
      </c>
      <c r="C2" s="76">
        <f>B46*0.898013331</f>
        <v>173.8185809979428</v>
      </c>
      <c r="D2" s="77">
        <f>B3*1.05</f>
        <v>128.69002089300002</v>
      </c>
    </row>
    <row r="3" spans="1:10" x14ac:dyDescent="0.25">
      <c r="A3" s="53" t="s">
        <v>101</v>
      </c>
      <c r="B3" s="78">
        <f>B2*1.02993214</f>
        <v>122.56192466000002</v>
      </c>
      <c r="C3" s="45">
        <f>B3*1.1</f>
        <v>134.81811712600003</v>
      </c>
      <c r="D3" s="79">
        <f>D2*1.056</f>
        <v>135.89666206300802</v>
      </c>
    </row>
    <row r="4" spans="1:10" x14ac:dyDescent="0.25">
      <c r="A4" s="74" t="s">
        <v>102</v>
      </c>
      <c r="B4" s="78">
        <f>B3*1.134</f>
        <v>138.98522256443999</v>
      </c>
      <c r="C4" s="45">
        <f>B4*0.98741</f>
        <v>137.23539861235369</v>
      </c>
      <c r="D4" s="79">
        <f>D3*1.03</f>
        <v>139.97356192489826</v>
      </c>
    </row>
    <row r="5" spans="1:10" x14ac:dyDescent="0.25">
      <c r="A5" s="53" t="s">
        <v>103</v>
      </c>
      <c r="B5" s="78">
        <f>B4*1.21</f>
        <v>168.17211930297239</v>
      </c>
      <c r="C5" s="45">
        <f>B5*0.942</f>
        <v>158.4181363834</v>
      </c>
      <c r="D5" s="79">
        <f>D4*1.02</f>
        <v>142.77303316339624</v>
      </c>
    </row>
    <row r="6" spans="1:10" x14ac:dyDescent="0.25">
      <c r="A6" s="74" t="s">
        <v>104</v>
      </c>
      <c r="B6" s="78">
        <f>B5*1.123</f>
        <v>188.857289977238</v>
      </c>
      <c r="C6" s="45">
        <f>B6*0.8525</f>
        <v>161.00083970559541</v>
      </c>
      <c r="D6" s="79">
        <f>D5*1.023</f>
        <v>146.05681292615432</v>
      </c>
    </row>
    <row r="7" spans="1:10" x14ac:dyDescent="0.25">
      <c r="A7" s="53" t="s">
        <v>105</v>
      </c>
      <c r="B7" s="78">
        <f>B6*0.89024133</f>
        <v>168.12856500953202</v>
      </c>
      <c r="C7" s="45">
        <f>B7*0.8452</f>
        <v>142.10226314605646</v>
      </c>
      <c r="D7" s="79">
        <f>D6*1.03</f>
        <v>150.43851731393895</v>
      </c>
    </row>
    <row r="8" spans="1:10" x14ac:dyDescent="0.25">
      <c r="A8" s="74" t="s">
        <v>106</v>
      </c>
      <c r="B8" s="78">
        <f>B7*0.8721</f>
        <v>146.62492154481288</v>
      </c>
      <c r="C8" s="45">
        <f>B8*1.052</f>
        <v>154.24941746514315</v>
      </c>
      <c r="D8" s="79">
        <f>D7*1.05</f>
        <v>157.96044317963589</v>
      </c>
      <c r="F8" t="s">
        <v>145</v>
      </c>
    </row>
    <row r="9" spans="1:10" x14ac:dyDescent="0.25">
      <c r="A9" s="53" t="s">
        <v>107</v>
      </c>
      <c r="B9" s="78">
        <f>B8*1.03234</f>
        <v>151.36677150757214</v>
      </c>
      <c r="C9" s="45">
        <f>B9*0.9423</f>
        <v>142.63290879158524</v>
      </c>
      <c r="D9" s="79">
        <f>D8*1.025</f>
        <v>161.90945425912676</v>
      </c>
    </row>
    <row r="10" spans="1:10" ht="15.75" thickBot="1" x14ac:dyDescent="0.3">
      <c r="A10" s="74" t="s">
        <v>108</v>
      </c>
      <c r="B10" s="78">
        <f>B9*1.001653</f>
        <v>151.61698078087414</v>
      </c>
      <c r="C10" s="45">
        <f>B10*0.88</f>
        <v>133.42294308716924</v>
      </c>
      <c r="D10" s="79">
        <f>D9*0.89</f>
        <v>144.09941429062283</v>
      </c>
      <c r="F10" t="s">
        <v>146</v>
      </c>
    </row>
    <row r="11" spans="1:10" x14ac:dyDescent="0.25">
      <c r="A11" s="53" t="s">
        <v>109</v>
      </c>
      <c r="B11" s="78">
        <f>B10*0.87723</f>
        <v>133.00296405040621</v>
      </c>
      <c r="C11" s="45">
        <f>C10*1.075</f>
        <v>143.42966381870693</v>
      </c>
      <c r="D11" s="79">
        <f>D10*0.87452</f>
        <v>126.01781978543548</v>
      </c>
      <c r="F11" s="3" t="s">
        <v>147</v>
      </c>
      <c r="G11" s="3" t="s">
        <v>148</v>
      </c>
      <c r="H11" s="3" t="s">
        <v>149</v>
      </c>
      <c r="I11" s="3" t="s">
        <v>150</v>
      </c>
      <c r="J11" s="3" t="s">
        <v>151</v>
      </c>
    </row>
    <row r="12" spans="1:10" x14ac:dyDescent="0.25">
      <c r="A12" s="74" t="s">
        <v>110</v>
      </c>
      <c r="B12" s="78">
        <f>B11*1.083</f>
        <v>144.04221006658992</v>
      </c>
      <c r="C12" s="45">
        <f>C11*0.9942</f>
        <v>142.59777176855843</v>
      </c>
      <c r="D12" s="79">
        <f>D11*1.04</f>
        <v>131.05853257685291</v>
      </c>
      <c r="F12" s="1">
        <v>119</v>
      </c>
      <c r="G12" s="1">
        <v>44</v>
      </c>
      <c r="H12" s="1">
        <v>6367.2020330467858</v>
      </c>
      <c r="I12" s="1">
        <v>144.70913711469967</v>
      </c>
      <c r="J12" s="1">
        <v>230.8774889352255</v>
      </c>
    </row>
    <row r="13" spans="1:10" x14ac:dyDescent="0.25">
      <c r="A13" s="53" t="s">
        <v>111</v>
      </c>
      <c r="B13" s="78">
        <f>B12*1.04552</f>
        <v>150.59901146882109</v>
      </c>
      <c r="C13" s="45">
        <f>C12*1.0135323</f>
        <v>144.52744759546209</v>
      </c>
      <c r="D13" s="79">
        <f>D12*1.074</f>
        <v>140.75686398754004</v>
      </c>
      <c r="F13" s="1">
        <v>173.8185809979428</v>
      </c>
      <c r="G13" s="1">
        <v>44</v>
      </c>
      <c r="H13" s="1">
        <v>6432.6506462843063</v>
      </c>
      <c r="I13" s="1">
        <v>146.19660559737059</v>
      </c>
      <c r="J13" s="1">
        <v>131.63447583956767</v>
      </c>
    </row>
    <row r="14" spans="1:10" ht="15.75" thickBot="1" x14ac:dyDescent="0.3">
      <c r="A14" s="74" t="s">
        <v>112</v>
      </c>
      <c r="B14" s="78">
        <f>B13*1.0003831</f>
        <v>150.6567059501148</v>
      </c>
      <c r="C14" s="45">
        <f>C13*0.942142</f>
        <v>136.16537853248386</v>
      </c>
      <c r="D14" s="79">
        <f>D13*1.0453</f>
        <v>147.13314992617561</v>
      </c>
      <c r="F14" s="2">
        <v>128.69002089300002</v>
      </c>
      <c r="G14" s="2">
        <v>44</v>
      </c>
      <c r="H14" s="2">
        <v>6174.6957462122955</v>
      </c>
      <c r="I14" s="2">
        <v>140.33399423209764</v>
      </c>
      <c r="J14" s="2">
        <v>230.07703801028723</v>
      </c>
    </row>
    <row r="15" spans="1:10" x14ac:dyDescent="0.25">
      <c r="A15" s="53" t="s">
        <v>113</v>
      </c>
      <c r="B15" s="78">
        <f>B14*0.89424</f>
        <v>134.72325272883066</v>
      </c>
      <c r="C15" s="45">
        <f>B15*1.121</f>
        <v>151.02476630901916</v>
      </c>
      <c r="D15" s="79">
        <f>D14*1.01342</f>
        <v>149.10767679818488</v>
      </c>
    </row>
    <row r="16" spans="1:10" x14ac:dyDescent="0.25">
      <c r="A16" s="74" t="s">
        <v>114</v>
      </c>
      <c r="B16" s="78">
        <f>B15*1.02</f>
        <v>137.41771778340728</v>
      </c>
      <c r="C16" s="45">
        <f>B16*1.0425</f>
        <v>143.25797078920209</v>
      </c>
      <c r="D16" s="79">
        <f>D15*1.01434</f>
        <v>151.24588088347085</v>
      </c>
    </row>
    <row r="17" spans="1:12" ht="15.75" thickBot="1" x14ac:dyDescent="0.3">
      <c r="A17" s="53" t="s">
        <v>115</v>
      </c>
      <c r="B17" s="78">
        <f>B16*0.93</f>
        <v>127.79847753856878</v>
      </c>
      <c r="C17" s="45">
        <f>C16*1.052</f>
        <v>150.70738527024059</v>
      </c>
      <c r="D17" s="79">
        <f>D16*1.001323</f>
        <v>151.44597918387967</v>
      </c>
      <c r="F17" t="s">
        <v>152</v>
      </c>
    </row>
    <row r="18" spans="1:12" x14ac:dyDescent="0.25">
      <c r="A18" s="74" t="s">
        <v>116</v>
      </c>
      <c r="B18" s="78">
        <f>B17*1.12</f>
        <v>143.13429484319704</v>
      </c>
      <c r="C18" s="45">
        <f>C17*0.942354</f>
        <v>142.01970733895232</v>
      </c>
      <c r="D18" s="79">
        <f>D17*0.942</f>
        <v>142.66211239121463</v>
      </c>
      <c r="F18" s="3" t="s">
        <v>153</v>
      </c>
      <c r="G18" s="3" t="s">
        <v>154</v>
      </c>
      <c r="H18" s="3" t="s">
        <v>155</v>
      </c>
      <c r="I18" s="3" t="s">
        <v>156</v>
      </c>
      <c r="J18" s="3" t="s">
        <v>157</v>
      </c>
      <c r="K18" s="3" t="s">
        <v>158</v>
      </c>
      <c r="L18" s="3" t="s">
        <v>159</v>
      </c>
    </row>
    <row r="19" spans="1:12" x14ac:dyDescent="0.25">
      <c r="A19" s="53" t="s">
        <v>117</v>
      </c>
      <c r="B19" s="78">
        <f>B18*1.1023</f>
        <v>157.77693320565609</v>
      </c>
      <c r="C19" s="45">
        <f>B19*1.0134141</f>
        <v>159.8933687653701</v>
      </c>
      <c r="D19" s="79">
        <f>D18*1.02</f>
        <v>145.51535463903892</v>
      </c>
      <c r="F19" s="1" t="s">
        <v>160</v>
      </c>
      <c r="G19" s="1">
        <v>817.29486300516146</v>
      </c>
      <c r="H19" s="1">
        <v>2</v>
      </c>
      <c r="I19" s="1">
        <v>408.64743150258073</v>
      </c>
      <c r="J19" s="1">
        <v>2.0687901542992626</v>
      </c>
      <c r="K19" s="1">
        <v>0.13050999296487287</v>
      </c>
      <c r="L19" s="1">
        <v>3.0663910369425227</v>
      </c>
    </row>
    <row r="20" spans="1:12" x14ac:dyDescent="0.25">
      <c r="A20" s="74" t="s">
        <v>118</v>
      </c>
      <c r="B20" s="78">
        <f>B19*0.89</f>
        <v>140.42147055303391</v>
      </c>
      <c r="C20" s="45">
        <f>C19*0.98</f>
        <v>156.6955013900627</v>
      </c>
      <c r="D20" s="79">
        <f>D19*1.034</f>
        <v>150.46287669676624</v>
      </c>
      <c r="F20" s="1" t="s">
        <v>161</v>
      </c>
      <c r="G20" s="1">
        <v>25481.327119757407</v>
      </c>
      <c r="H20" s="1">
        <v>129</v>
      </c>
      <c r="I20" s="1">
        <v>197.52966759501865</v>
      </c>
      <c r="J20" s="1"/>
      <c r="K20" s="1"/>
      <c r="L20" s="1"/>
    </row>
    <row r="21" spans="1:12" x14ac:dyDescent="0.25">
      <c r="A21" s="53" t="s">
        <v>119</v>
      </c>
      <c r="B21" s="78">
        <f>B20*0.9890132</f>
        <v>138.87868794036186</v>
      </c>
      <c r="C21" s="45">
        <f>B21*0.977752</f>
        <v>135.78891489106468</v>
      </c>
      <c r="D21" s="79">
        <f>D20*1.00199</f>
        <v>150.76229782139279</v>
      </c>
      <c r="F21" s="1"/>
      <c r="G21" s="1"/>
      <c r="H21" s="1"/>
      <c r="I21" s="1"/>
      <c r="J21" s="1"/>
      <c r="K21" s="1"/>
      <c r="L21" s="1"/>
    </row>
    <row r="22" spans="1:12" ht="15.75" thickBot="1" x14ac:dyDescent="0.3">
      <c r="A22" s="74" t="s">
        <v>120</v>
      </c>
      <c r="B22" s="78">
        <f>B21*0.982324</f>
        <v>136.42386825232802</v>
      </c>
      <c r="C22" s="45">
        <f>C21*1.0994</f>
        <v>149.2863330312365</v>
      </c>
      <c r="D22" s="79">
        <f>D21*1.01234</f>
        <v>152.6227045765088</v>
      </c>
      <c r="F22" s="2" t="s">
        <v>162</v>
      </c>
      <c r="G22" s="2">
        <v>26298.621982762568</v>
      </c>
      <c r="H22" s="2">
        <v>131</v>
      </c>
      <c r="I22" s="2"/>
      <c r="J22" s="2"/>
      <c r="K22" s="2"/>
      <c r="L22" s="2"/>
    </row>
    <row r="23" spans="1:12" x14ac:dyDescent="0.25">
      <c r="A23" s="53" t="s">
        <v>121</v>
      </c>
      <c r="B23" s="78">
        <f>B22*1.064</f>
        <v>145.15499582047701</v>
      </c>
      <c r="C23" s="45">
        <f>C22*0.988423</f>
        <v>147.55804515373387</v>
      </c>
      <c r="D23" s="79">
        <f>D22*1.007</f>
        <v>153.69106350854435</v>
      </c>
    </row>
    <row r="24" spans="1:12" x14ac:dyDescent="0.25">
      <c r="A24" s="74" t="s">
        <v>122</v>
      </c>
      <c r="B24" s="78">
        <f>B23*0.984142</f>
        <v>142.85312789675589</v>
      </c>
      <c r="C24" s="45">
        <f>C23*0.9842</f>
        <v>145.22662804030486</v>
      </c>
      <c r="D24" s="79">
        <f>+D23*1.00015</f>
        <v>153.71411716807063</v>
      </c>
      <c r="F24" s="115" t="s">
        <v>204</v>
      </c>
    </row>
    <row r="25" spans="1:12" x14ac:dyDescent="0.25">
      <c r="A25" s="53" t="s">
        <v>123</v>
      </c>
      <c r="B25" s="78">
        <f>B24*1.0298923</f>
        <v>147.1233364517841</v>
      </c>
      <c r="C25" s="45">
        <f>C24*1.0331</f>
        <v>150.03362942843893</v>
      </c>
      <c r="D25" s="79">
        <f>D24*0.894</f>
        <v>137.42042074825514</v>
      </c>
    </row>
    <row r="26" spans="1:12" x14ac:dyDescent="0.25">
      <c r="A26" s="74" t="s">
        <v>124</v>
      </c>
      <c r="B26" s="78">
        <f>B25*0.99</f>
        <v>145.65210308726625</v>
      </c>
      <c r="C26" s="45">
        <f>C25*1.1</f>
        <v>165.03699237128282</v>
      </c>
      <c r="D26" s="79">
        <f>D25*0.9576</f>
        <v>131.59379490852913</v>
      </c>
    </row>
    <row r="27" spans="1:12" x14ac:dyDescent="0.25">
      <c r="A27" s="53" t="s">
        <v>125</v>
      </c>
      <c r="B27" s="78">
        <f>B26*1.0776</f>
        <v>156.9547062868381</v>
      </c>
      <c r="C27" s="45">
        <f>C26*0.87742</f>
        <v>144.80675784641096</v>
      </c>
      <c r="D27" s="79">
        <f>D26*0.98874</f>
        <v>130.11204877785909</v>
      </c>
      <c r="G27" s="172" t="s">
        <v>205</v>
      </c>
      <c r="H27" s="173"/>
      <c r="I27" s="173"/>
      <c r="J27" s="173"/>
      <c r="K27" s="173"/>
      <c r="L27" s="174"/>
    </row>
    <row r="28" spans="1:12" x14ac:dyDescent="0.25">
      <c r="A28" s="74" t="s">
        <v>126</v>
      </c>
      <c r="B28" s="78">
        <f>B27*1.012</f>
        <v>158.83816276228015</v>
      </c>
      <c r="C28" s="45">
        <f>C27*1.077</f>
        <v>155.95687820058461</v>
      </c>
      <c r="D28" s="79">
        <f>D27*1.02</f>
        <v>132.71428975341627</v>
      </c>
      <c r="G28" s="175"/>
      <c r="H28" s="176"/>
      <c r="I28" s="176"/>
      <c r="J28" s="176"/>
      <c r="K28" s="176"/>
      <c r="L28" s="177"/>
    </row>
    <row r="29" spans="1:12" x14ac:dyDescent="0.25">
      <c r="A29" s="53" t="s">
        <v>127</v>
      </c>
      <c r="B29" s="78">
        <f>B28*1.00089</f>
        <v>158.97952872713859</v>
      </c>
      <c r="C29" s="45">
        <f>C28*1.01344</f>
        <v>158.05293864360044</v>
      </c>
      <c r="D29" s="79">
        <f>D28*1.02</f>
        <v>135.36857554848459</v>
      </c>
      <c r="G29" s="175"/>
      <c r="H29" s="176"/>
      <c r="I29" s="176"/>
      <c r="J29" s="176"/>
      <c r="K29" s="176"/>
      <c r="L29" s="177"/>
    </row>
    <row r="30" spans="1:12" x14ac:dyDescent="0.25">
      <c r="A30" s="74" t="s">
        <v>128</v>
      </c>
      <c r="B30" s="78">
        <f>B29*0.890123</f>
        <v>141.51133504918678</v>
      </c>
      <c r="C30" s="45">
        <f>C29*0.97741</f>
        <v>154.48252275964151</v>
      </c>
      <c r="D30" s="79">
        <f>D29*0.9924</f>
        <v>134.33977437431611</v>
      </c>
      <c r="G30" s="175"/>
      <c r="H30" s="176"/>
      <c r="I30" s="176"/>
      <c r="J30" s="176"/>
      <c r="K30" s="176"/>
      <c r="L30" s="177"/>
    </row>
    <row r="31" spans="1:12" x14ac:dyDescent="0.25">
      <c r="A31" s="53" t="s">
        <v>129</v>
      </c>
      <c r="B31" s="78">
        <f>B30*0.899810003242</f>
        <v>127.33331484938851</v>
      </c>
      <c r="C31" s="45">
        <f>C30*0.9424</f>
        <v>145.58432944868616</v>
      </c>
      <c r="D31" s="79">
        <f>D30*0.9874</f>
        <v>132.64709321719974</v>
      </c>
      <c r="G31" s="175"/>
      <c r="H31" s="176"/>
      <c r="I31" s="176"/>
      <c r="J31" s="176"/>
      <c r="K31" s="176"/>
      <c r="L31" s="177"/>
    </row>
    <row r="32" spans="1:12" x14ac:dyDescent="0.25">
      <c r="A32" s="74" t="s">
        <v>130</v>
      </c>
      <c r="B32" s="78">
        <f>B31*0.9883</f>
        <v>125.84351506565066</v>
      </c>
      <c r="C32" s="45">
        <f>C31*1.0213</f>
        <v>148.68527566594318</v>
      </c>
      <c r="D32" s="79">
        <f>D31*1.12</f>
        <v>148.56474440326372</v>
      </c>
      <c r="G32" s="175"/>
      <c r="H32" s="176"/>
      <c r="I32" s="176"/>
      <c r="J32" s="176"/>
      <c r="K32" s="176"/>
      <c r="L32" s="177"/>
    </row>
    <row r="33" spans="1:12" x14ac:dyDescent="0.25">
      <c r="A33" s="53" t="s">
        <v>131</v>
      </c>
      <c r="B33" s="78">
        <f>B32*0.9842</f>
        <v>123.85518752761338</v>
      </c>
      <c r="C33" s="45">
        <f>C32*0.988</f>
        <v>146.90105235795187</v>
      </c>
      <c r="D33" s="79">
        <f>D26*0.93</f>
        <v>122.38222926493211</v>
      </c>
      <c r="G33" s="175"/>
      <c r="H33" s="176"/>
      <c r="I33" s="176"/>
      <c r="J33" s="176"/>
      <c r="K33" s="176"/>
      <c r="L33" s="177"/>
    </row>
    <row r="34" spans="1:12" x14ac:dyDescent="0.25">
      <c r="A34" s="74" t="s">
        <v>132</v>
      </c>
      <c r="B34" s="78">
        <f>B33*1.042</f>
        <v>129.05710540377314</v>
      </c>
      <c r="C34" s="45">
        <f>C33*0.9312</f>
        <v>136.79425995572478</v>
      </c>
      <c r="D34" s="79">
        <f>D30*0.994131</f>
        <v>133.55133423851325</v>
      </c>
      <c r="G34" s="178"/>
      <c r="H34" s="179"/>
      <c r="I34" s="179"/>
      <c r="J34" s="179"/>
      <c r="K34" s="179"/>
      <c r="L34" s="180"/>
    </row>
    <row r="35" spans="1:12" x14ac:dyDescent="0.25">
      <c r="A35" s="53" t="s">
        <v>133</v>
      </c>
      <c r="B35" s="78">
        <f>B34*0.989</f>
        <v>127.63747724433163</v>
      </c>
      <c r="C35" s="45">
        <f>C34*0.99</f>
        <v>135.42631735616754</v>
      </c>
      <c r="D35" s="79">
        <f>D34*1.0342</f>
        <v>138.11878986947039</v>
      </c>
    </row>
    <row r="36" spans="1:12" x14ac:dyDescent="0.25">
      <c r="A36" s="74" t="s">
        <v>134</v>
      </c>
      <c r="B36" s="78">
        <f>B35*0.9931</f>
        <v>126.75677865134574</v>
      </c>
      <c r="C36" s="45">
        <f>C35*1.033</f>
        <v>139.89538582892106</v>
      </c>
      <c r="D36" s="79">
        <f>D35*0.974</f>
        <v>134.52770133286415</v>
      </c>
    </row>
    <row r="37" spans="1:12" x14ac:dyDescent="0.25">
      <c r="A37" s="53" t="s">
        <v>135</v>
      </c>
      <c r="B37" s="78">
        <f>B36*0.99244</f>
        <v>125.79849740474157</v>
      </c>
      <c r="C37" s="45">
        <f>C36*1.0003</f>
        <v>139.93735444466972</v>
      </c>
      <c r="D37" s="79">
        <f>D36*1.01112</f>
        <v>136.02364937168559</v>
      </c>
    </row>
    <row r="38" spans="1:12" x14ac:dyDescent="0.25">
      <c r="A38" s="74" t="s">
        <v>136</v>
      </c>
      <c r="B38" s="78">
        <f>B37*1.12</f>
        <v>140.89431709331058</v>
      </c>
      <c r="C38" s="45">
        <f>C34</f>
        <v>136.79425995572478</v>
      </c>
      <c r="D38" s="79">
        <f>D37</f>
        <v>136.02364937168559</v>
      </c>
    </row>
    <row r="39" spans="1:12" x14ac:dyDescent="0.25">
      <c r="A39" s="53" t="s">
        <v>137</v>
      </c>
      <c r="B39" s="78">
        <f>B38*1.0142</f>
        <v>142.89501639603557</v>
      </c>
      <c r="C39" s="45">
        <f>C38*0.9841</f>
        <v>134.61923122242877</v>
      </c>
      <c r="D39" s="79">
        <f>D38*0.9824</f>
        <v>133.62963314274393</v>
      </c>
    </row>
    <row r="40" spans="1:12" x14ac:dyDescent="0.25">
      <c r="A40" s="74" t="s">
        <v>138</v>
      </c>
      <c r="B40" s="78">
        <f>B39*1.01412</f>
        <v>144.91269402754759</v>
      </c>
      <c r="C40" s="45">
        <f>C39*0.99</f>
        <v>133.27303891020449</v>
      </c>
      <c r="D40" s="79">
        <f>D39*1.02</f>
        <v>136.30222580559879</v>
      </c>
    </row>
    <row r="41" spans="1:12" x14ac:dyDescent="0.25">
      <c r="A41" s="53" t="s">
        <v>139</v>
      </c>
      <c r="B41" s="78">
        <f>B40*0.99314</f>
        <v>143.9185929465186</v>
      </c>
      <c r="C41" s="45">
        <f>C40*1.02</f>
        <v>135.93849968840857</v>
      </c>
      <c r="D41" s="79">
        <f>D40*1.02</f>
        <v>139.02827032171078</v>
      </c>
    </row>
    <row r="42" spans="1:12" x14ac:dyDescent="0.25">
      <c r="A42" s="74" t="s">
        <v>140</v>
      </c>
      <c r="B42" s="78">
        <f>B41*1.043242</f>
        <v>150.14192074271196</v>
      </c>
      <c r="C42" s="45">
        <f>C41*0.99</f>
        <v>134.5791146915245</v>
      </c>
      <c r="D42" s="79">
        <f>D41*0.99</f>
        <v>137.63798761849367</v>
      </c>
    </row>
    <row r="43" spans="1:12" x14ac:dyDescent="0.25">
      <c r="A43" s="53" t="s">
        <v>141</v>
      </c>
      <c r="B43" s="78">
        <f>B42*0.9741</f>
        <v>146.25324499547571</v>
      </c>
      <c r="C43" s="45">
        <f>C42*0.9923</f>
        <v>133.54285550839975</v>
      </c>
      <c r="D43" s="79">
        <f>D42*0.9898</f>
        <v>136.23408014478503</v>
      </c>
    </row>
    <row r="44" spans="1:12" x14ac:dyDescent="0.25">
      <c r="A44" s="74" t="s">
        <v>142</v>
      </c>
      <c r="B44" s="78">
        <f>B43*0.99412</f>
        <v>145.39327591490232</v>
      </c>
      <c r="C44" s="45">
        <f>C43*1.11</f>
        <v>148.23256961432375</v>
      </c>
      <c r="D44" s="79">
        <f>D35*0.974</f>
        <v>134.52770133286415</v>
      </c>
    </row>
    <row r="45" spans="1:12" x14ac:dyDescent="0.25">
      <c r="A45" s="53" t="s">
        <v>143</v>
      </c>
      <c r="B45" s="78">
        <f>B44*0.9952</f>
        <v>144.69538819051078</v>
      </c>
      <c r="C45" s="45">
        <f>C44*0.987</f>
        <v>146.30554620933754</v>
      </c>
      <c r="D45" s="79">
        <f>D44*1.33199</f>
        <v>179.18955289836174</v>
      </c>
    </row>
    <row r="46" spans="1:12" x14ac:dyDescent="0.25">
      <c r="A46" s="74" t="s">
        <v>144</v>
      </c>
      <c r="B46" s="78">
        <f>B45*1.3377</f>
        <v>193.55902078244625</v>
      </c>
      <c r="C46" s="45">
        <f>C45*1.3377</f>
        <v>195.71292916423081</v>
      </c>
      <c r="D46" s="79">
        <f>D45*0.3876</f>
        <v>69.453870703405016</v>
      </c>
    </row>
  </sheetData>
  <mergeCells count="1">
    <mergeCell ref="G27:L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Estatística descritiva</vt:lpstr>
      <vt:lpstr>Correlação</vt:lpstr>
      <vt:lpstr>Curva de Gauss</vt:lpstr>
      <vt:lpstr>IC  e T</vt:lpstr>
      <vt:lpstr>Carta de controle</vt:lpstr>
      <vt:lpstr>Qui Quadrado</vt:lpstr>
      <vt:lpstr>F e T</vt:lpstr>
      <vt:lpstr>Qui Quadrado 2</vt:lpstr>
      <vt:lpstr>Anova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DINIZ JUNIOR</dc:creator>
  <cp:lastModifiedBy>Jose Diniz Junior</cp:lastModifiedBy>
  <dcterms:created xsi:type="dcterms:W3CDTF">2018-04-07T17:12:47Z</dcterms:created>
  <dcterms:modified xsi:type="dcterms:W3CDTF">2018-04-12T19:41:03Z</dcterms:modified>
</cp:coreProperties>
</file>