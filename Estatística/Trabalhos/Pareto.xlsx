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ocumentos\Ciência de Dados\Trabalhos\"/>
    </mc:Choice>
  </mc:AlternateContent>
  <bookViews>
    <workbookView xWindow="0" yWindow="0" windowWidth="19200" windowHeight="11955"/>
  </bookViews>
  <sheets>
    <sheet name="Sheet1" sheetId="1" r:id="rId1"/>
  </sheets>
  <definedNames>
    <definedName name="_xlchart.v1.0" hidden="1">Sheet1!$F$2:$F$8</definedName>
    <definedName name="_xlchart.v1.1" hidden="1">Sheet1!$G$1</definedName>
    <definedName name="_xlchart.v1.2" hidden="1">Sheet1!$G$2:$G$8</definedName>
    <definedName name="_xlchart.v1.3" hidden="1">Sheet1!$F$2:$F$8</definedName>
    <definedName name="_xlchart.v1.4" hidden="1">Sheet1!$G$1</definedName>
    <definedName name="_xlchart.v1.5" hidden="1">Sheet1!$G$2:$G$8</definedName>
    <definedName name="_xlchart.v1.6" hidden="1">Sheet1!$F$2:$F$8</definedName>
    <definedName name="_xlchart.v1.7" hidden="1">Sheet1!$G$1</definedName>
    <definedName name="_xlchart.v1.8" hidden="1">Sheet1!$G$2:$G$8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8" i="1" l="1"/>
  <c r="I7" i="1"/>
  <c r="I6" i="1"/>
  <c r="I5" i="1"/>
  <c r="I4" i="1"/>
  <c r="I3" i="1"/>
  <c r="I2" i="1"/>
  <c r="H3" i="1"/>
  <c r="H4" i="1"/>
  <c r="H5" i="1"/>
  <c r="H6" i="1"/>
  <c r="H7" i="1"/>
  <c r="H8" i="1"/>
  <c r="H2" i="1"/>
</calcChain>
</file>

<file path=xl/sharedStrings.xml><?xml version="1.0" encoding="utf-8"?>
<sst xmlns="http://schemas.openxmlformats.org/spreadsheetml/2006/main" count="35" uniqueCount="14">
  <si>
    <t>Dias de Atraso</t>
  </si>
  <si>
    <t>Principais Causas</t>
  </si>
  <si>
    <t>Produto</t>
  </si>
  <si>
    <t>atraso na aprovação</t>
  </si>
  <si>
    <t>atraso do fornecedor</t>
  </si>
  <si>
    <t>falta de serviço especializado</t>
  </si>
  <si>
    <t>mudança de escopo</t>
  </si>
  <si>
    <t>falha técnica</t>
  </si>
  <si>
    <t>indisponibilidade da equipe</t>
  </si>
  <si>
    <t>falha da gestão</t>
  </si>
  <si>
    <t>Frequência</t>
  </si>
  <si>
    <t>cor</t>
  </si>
  <si>
    <t>%</t>
  </si>
  <si>
    <t>% Acumulada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</si>
</sst>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rgb="FF323232"/>
      <name val="Arial"/>
      <family val="2"/>
    </font>
    <font>
      <sz val="12"/>
      <color theme="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9966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0" fillId="9" borderId="0" xfId="0" applyFill="1"/>
    <xf numFmtId="0" fontId="0" fillId="5" borderId="0" xfId="0" applyFill="1"/>
    <xf numFmtId="0" fontId="0" fillId="2" borderId="0" xfId="0" applyFill="1"/>
    <xf numFmtId="0" fontId="0" fillId="4" borderId="0" xfId="0" applyFill="1"/>
    <xf numFmtId="0" fontId="0" fillId="3" borderId="0" xfId="0" applyFill="1"/>
    <xf numFmtId="0" fontId="0" fillId="6" borderId="0" xfId="0" applyFill="1"/>
    <xf numFmtId="0" fontId="0" fillId="7" borderId="0" xfId="0" applyFill="1"/>
    <xf numFmtId="0" fontId="2" fillId="8" borderId="1" xfId="0" applyFont="1" applyFill="1" applyBorder="1" applyAlignment="1">
      <alignment horizontal="center" vertical="center"/>
    </xf>
    <xf numFmtId="0" fontId="2" fillId="8" borderId="0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1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val">
        <cx:f>_xlchart.v1.8</cx:f>
      </cx:numDim>
    </cx:data>
  </cx:chartData>
  <cx:chart>
    <cx:title pos="t" align="ctr" overlay="0">
      <cx:tx>
        <cx:txData>
          <cx:v>Causa de atrasos em produtos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US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Calibri" panose="020F0502020204030204"/>
            </a:rPr>
            <a:t>Causa de atrasos em produtos</a:t>
          </a:r>
        </a:p>
      </cx:txPr>
    </cx:title>
    <cx:plotArea>
      <cx:plotAreaRegion>
        <cx:series layoutId="clusteredColumn" uniqueId="{3F2F5530-D08E-4E92-BC4C-0C5E94C5E199}">
          <cx:tx>
            <cx:txData>
              <cx:f>_xlchart.v1.7</cx:f>
              <cx:v>Frequência</cx:v>
            </cx:txData>
          </cx:tx>
          <cx:dataId val="0"/>
          <cx:layoutPr>
            <cx:aggregation/>
          </cx:layoutPr>
          <cx:axisId val="1"/>
        </cx:series>
        <cx:series layoutId="paretoLine" ownerIdx="0" uniqueId="{3B79BDE4-A63B-4F53-B806-17A99BD64A46}">
          <cx:axisId val="2"/>
        </cx:series>
      </cx:plotAreaRegion>
      <cx:axis id="0">
        <cx:catScaling gapWidth="1.5"/>
        <cx:tickLabels/>
      </cx:axis>
      <cx:axis id="1">
        <cx:valScaling max="20"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85725</xdr:colOff>
      <xdr:row>8</xdr:row>
      <xdr:rowOff>171450</xdr:rowOff>
    </xdr:from>
    <xdr:to>
      <xdr:col>9</xdr:col>
      <xdr:colOff>809625</xdr:colOff>
      <xdr:row>24</xdr:row>
      <xdr:rowOff>247650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EDBCD215-A4C0-464E-87F9-52999DE053C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86500" y="2381250"/>
              <a:ext cx="5905500" cy="4495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tabSelected="1" workbookViewId="0">
      <selection activeCell="D17" sqref="D17"/>
    </sheetView>
  </sheetViews>
  <sheetFormatPr defaultColWidth="15.42578125" defaultRowHeight="21.75" customHeight="1" x14ac:dyDescent="0.25"/>
  <cols>
    <col min="1" max="1" width="14" customWidth="1"/>
    <col min="2" max="2" width="16.7109375" customWidth="1"/>
    <col min="3" max="3" width="31.42578125" bestFit="1" customWidth="1"/>
    <col min="6" max="6" width="31.42578125" bestFit="1" customWidth="1"/>
  </cols>
  <sheetData>
    <row r="1" spans="1:9" ht="21.75" customHeight="1" x14ac:dyDescent="0.25">
      <c r="A1" s="16" t="s">
        <v>2</v>
      </c>
      <c r="B1" s="16" t="s">
        <v>0</v>
      </c>
      <c r="C1" s="16" t="s">
        <v>1</v>
      </c>
      <c r="E1" s="18" t="s">
        <v>11</v>
      </c>
      <c r="F1" s="16" t="s">
        <v>1</v>
      </c>
      <c r="G1" s="17" t="s">
        <v>10</v>
      </c>
      <c r="H1" s="16" t="s">
        <v>12</v>
      </c>
      <c r="I1" s="16" t="s">
        <v>13</v>
      </c>
    </row>
    <row r="2" spans="1:9" ht="21.75" customHeight="1" x14ac:dyDescent="0.25">
      <c r="A2" s="1">
        <v>1</v>
      </c>
      <c r="B2" s="1">
        <v>15</v>
      </c>
      <c r="C2" s="1" t="s">
        <v>3</v>
      </c>
      <c r="E2" s="11"/>
      <c r="F2" s="4" t="s">
        <v>3</v>
      </c>
      <c r="G2" s="19">
        <v>8</v>
      </c>
      <c r="H2" s="20" t="str">
        <f>(G2*100)/(SUM($G$2:$G$8)) &amp; "%"</f>
        <v>40%</v>
      </c>
      <c r="I2" s="20" t="str">
        <f>40 &amp; "%"</f>
        <v>40%</v>
      </c>
    </row>
    <row r="3" spans="1:9" ht="21.75" customHeight="1" x14ac:dyDescent="0.25">
      <c r="A3" s="3">
        <v>2</v>
      </c>
      <c r="B3" s="3">
        <v>12</v>
      </c>
      <c r="C3" s="3" t="s">
        <v>4</v>
      </c>
      <c r="E3" s="12"/>
      <c r="F3" s="4" t="s">
        <v>4</v>
      </c>
      <c r="G3" s="19">
        <v>6</v>
      </c>
      <c r="H3" s="20" t="str">
        <f t="shared" ref="H3:H8" si="0">(G3*100)/(SUM($G$2:$G$8)) &amp; "%"</f>
        <v>30%</v>
      </c>
      <c r="I3" s="20" t="str">
        <f>70 &amp; "%"</f>
        <v>70%</v>
      </c>
    </row>
    <row r="4" spans="1:9" ht="21.75" customHeight="1" x14ac:dyDescent="0.25">
      <c r="A4" s="1">
        <v>3</v>
      </c>
      <c r="B4" s="1">
        <v>30</v>
      </c>
      <c r="C4" s="1" t="s">
        <v>3</v>
      </c>
      <c r="E4" s="13"/>
      <c r="F4" s="4" t="s">
        <v>6</v>
      </c>
      <c r="G4" s="19">
        <v>2</v>
      </c>
      <c r="H4" s="20" t="str">
        <f t="shared" si="0"/>
        <v>10%</v>
      </c>
      <c r="I4" s="20" t="str">
        <f>80 &amp; "%"</f>
        <v>80%</v>
      </c>
    </row>
    <row r="5" spans="1:9" ht="21.75" customHeight="1" x14ac:dyDescent="0.25">
      <c r="A5" s="3">
        <v>4</v>
      </c>
      <c r="B5" s="3">
        <v>12</v>
      </c>
      <c r="C5" s="3" t="s">
        <v>4</v>
      </c>
      <c r="E5" s="10"/>
      <c r="F5" s="4" t="s">
        <v>5</v>
      </c>
      <c r="G5" s="19">
        <v>1</v>
      </c>
      <c r="H5" s="20" t="str">
        <f t="shared" si="0"/>
        <v>5%</v>
      </c>
      <c r="I5" s="20" t="str">
        <f>85 &amp; "%"</f>
        <v>85%</v>
      </c>
    </row>
    <row r="6" spans="1:9" ht="21.75" customHeight="1" x14ac:dyDescent="0.25">
      <c r="A6" s="1">
        <v>5</v>
      </c>
      <c r="B6" s="1">
        <v>8</v>
      </c>
      <c r="C6" s="1" t="s">
        <v>3</v>
      </c>
      <c r="E6" s="14"/>
      <c r="F6" s="4" t="s">
        <v>7</v>
      </c>
      <c r="G6" s="19">
        <v>1</v>
      </c>
      <c r="H6" s="20" t="str">
        <f t="shared" si="0"/>
        <v>5%</v>
      </c>
      <c r="I6" s="20" t="str">
        <f>90 &amp; "%"</f>
        <v>90%</v>
      </c>
    </row>
    <row r="7" spans="1:9" ht="21.75" customHeight="1" x14ac:dyDescent="0.25">
      <c r="A7" s="3">
        <v>6</v>
      </c>
      <c r="B7" s="3">
        <v>7</v>
      </c>
      <c r="C7" s="3" t="s">
        <v>4</v>
      </c>
      <c r="E7" s="15"/>
      <c r="F7" s="4" t="s">
        <v>8</v>
      </c>
      <c r="G7" s="19">
        <v>1</v>
      </c>
      <c r="H7" s="20" t="str">
        <f t="shared" si="0"/>
        <v>5%</v>
      </c>
      <c r="I7" s="20" t="str">
        <f>95 &amp; "%"</f>
        <v>95%</v>
      </c>
    </row>
    <row r="8" spans="1:9" ht="21.75" customHeight="1" x14ac:dyDescent="0.25">
      <c r="A8" s="5">
        <v>7</v>
      </c>
      <c r="B8" s="5">
        <v>12</v>
      </c>
      <c r="C8" s="5" t="s">
        <v>5</v>
      </c>
      <c r="E8" s="9"/>
      <c r="F8" s="4" t="s">
        <v>9</v>
      </c>
      <c r="G8" s="19">
        <v>1</v>
      </c>
      <c r="H8" s="20" t="str">
        <f t="shared" si="0"/>
        <v>5%</v>
      </c>
      <c r="I8" s="20" t="str">
        <f>100 &amp; "%"</f>
        <v>100%</v>
      </c>
    </row>
    <row r="9" spans="1:9" ht="21.75" customHeight="1" x14ac:dyDescent="0.25">
      <c r="A9" s="3">
        <v>8</v>
      </c>
      <c r="B9" s="3">
        <v>10</v>
      </c>
      <c r="C9" s="3" t="s">
        <v>4</v>
      </c>
    </row>
    <row r="10" spans="1:9" ht="21.75" customHeight="1" x14ac:dyDescent="0.25">
      <c r="A10" s="1">
        <v>9</v>
      </c>
      <c r="B10" s="1">
        <v>14</v>
      </c>
      <c r="C10" s="1" t="s">
        <v>3</v>
      </c>
    </row>
    <row r="11" spans="1:9" ht="21.75" customHeight="1" x14ac:dyDescent="0.25">
      <c r="A11" s="2">
        <v>10</v>
      </c>
      <c r="B11" s="2">
        <v>15</v>
      </c>
      <c r="C11" s="2" t="s">
        <v>6</v>
      </c>
    </row>
    <row r="12" spans="1:9" ht="21.75" customHeight="1" x14ac:dyDescent="0.25">
      <c r="A12" s="1">
        <v>11</v>
      </c>
      <c r="B12" s="1">
        <v>20</v>
      </c>
      <c r="C12" s="1" t="s">
        <v>3</v>
      </c>
    </row>
    <row r="13" spans="1:9" ht="21.75" customHeight="1" x14ac:dyDescent="0.25">
      <c r="A13" s="6">
        <v>12</v>
      </c>
      <c r="B13" s="6">
        <v>8</v>
      </c>
      <c r="C13" s="6" t="s">
        <v>7</v>
      </c>
    </row>
    <row r="14" spans="1:9" ht="21.75" customHeight="1" x14ac:dyDescent="0.25">
      <c r="A14" s="2">
        <v>13</v>
      </c>
      <c r="B14" s="2">
        <v>40</v>
      </c>
      <c r="C14" s="2" t="s">
        <v>6</v>
      </c>
    </row>
    <row r="15" spans="1:9" ht="21.75" customHeight="1" x14ac:dyDescent="0.25">
      <c r="A15" s="7">
        <v>14</v>
      </c>
      <c r="B15" s="7">
        <v>7</v>
      </c>
      <c r="C15" s="7" t="s">
        <v>8</v>
      </c>
    </row>
    <row r="16" spans="1:9" ht="21.75" customHeight="1" x14ac:dyDescent="0.25">
      <c r="A16" s="1">
        <v>15</v>
      </c>
      <c r="B16" s="1">
        <v>4</v>
      </c>
      <c r="C16" s="1" t="s">
        <v>3</v>
      </c>
    </row>
    <row r="17" spans="1:3" ht="21.75" customHeight="1" x14ac:dyDescent="0.25">
      <c r="A17" s="1">
        <v>16</v>
      </c>
      <c r="B17" s="1">
        <v>12</v>
      </c>
      <c r="C17" s="1" t="s">
        <v>3</v>
      </c>
    </row>
    <row r="18" spans="1:3" ht="21.75" customHeight="1" x14ac:dyDescent="0.25">
      <c r="A18" s="3">
        <v>17</v>
      </c>
      <c r="B18" s="3">
        <v>8</v>
      </c>
      <c r="C18" s="3" t="s">
        <v>4</v>
      </c>
    </row>
    <row r="19" spans="1:3" ht="21.75" customHeight="1" x14ac:dyDescent="0.25">
      <c r="A19" s="3">
        <v>18</v>
      </c>
      <c r="B19" s="3">
        <v>12</v>
      </c>
      <c r="C19" s="3" t="s">
        <v>4</v>
      </c>
    </row>
    <row r="20" spans="1:3" ht="21.75" customHeight="1" x14ac:dyDescent="0.25">
      <c r="A20" s="1">
        <v>19</v>
      </c>
      <c r="B20" s="1">
        <v>28</v>
      </c>
      <c r="C20" s="1" t="s">
        <v>3</v>
      </c>
    </row>
    <row r="21" spans="1:3" ht="21.75" customHeight="1" x14ac:dyDescent="0.25">
      <c r="A21" s="8">
        <v>20</v>
      </c>
      <c r="B21" s="8">
        <v>8</v>
      </c>
      <c r="C21" s="8" t="s">
        <v>9</v>
      </c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Diniz</dc:creator>
  <cp:lastModifiedBy>José Diniz</cp:lastModifiedBy>
  <dcterms:created xsi:type="dcterms:W3CDTF">2018-03-30T14:36:04Z</dcterms:created>
  <dcterms:modified xsi:type="dcterms:W3CDTF">2018-03-30T15:49:38Z</dcterms:modified>
</cp:coreProperties>
</file>