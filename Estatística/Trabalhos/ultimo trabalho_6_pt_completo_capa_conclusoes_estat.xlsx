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F:\Documentos\Ciência de Dados\Trabalhos\"/>
    </mc:Choice>
  </mc:AlternateContent>
  <xr:revisionPtr revIDLastSave="0" documentId="12_ncr:500000_{2F1449CA-3928-4C24-93D9-C832EBDF0C04}" xr6:coauthVersionLast="31" xr6:coauthVersionMax="31" xr10:uidLastSave="{00000000-0000-0000-0000-000000000000}"/>
  <bookViews>
    <workbookView xWindow="240" yWindow="60" windowWidth="20115" windowHeight="8010" activeTab="4" xr2:uid="{00000000-000D-0000-FFFF-FFFF00000000}"/>
  </bookViews>
  <sheets>
    <sheet name="Base dos dados " sheetId="1" r:id="rId1"/>
    <sheet name="Sheet1" sheetId="6" r:id="rId2"/>
    <sheet name="parte 2 planilha" sheetId="4" r:id="rId3"/>
    <sheet name="parte 3 final" sheetId="5" r:id="rId4"/>
    <sheet name="Base teorico para resposta" sheetId="2" r:id="rId5"/>
    <sheet name="como entregar" sheetId="3" r:id="rId6"/>
  </sheets>
  <definedNames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'parte 3 final'!$E$26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62913"/>
</workbook>
</file>

<file path=xl/calcChain.xml><?xml version="1.0" encoding="utf-8"?>
<calcChain xmlns="http://schemas.openxmlformats.org/spreadsheetml/2006/main">
  <c r="B16" i="6" l="1"/>
  <c r="C16" i="6" s="1"/>
  <c r="B12" i="6"/>
  <c r="B14" i="6" s="1"/>
  <c r="B9" i="6"/>
  <c r="B10" i="6" s="1"/>
  <c r="B5" i="6"/>
  <c r="B6" i="6" s="1"/>
  <c r="B4" i="6"/>
  <c r="B15" i="6" s="1"/>
  <c r="B22" i="6" s="1"/>
  <c r="C3" i="6"/>
  <c r="C4" i="6" s="1"/>
  <c r="B3" i="6"/>
  <c r="C2" i="6"/>
  <c r="B2" i="6"/>
  <c r="C1" i="6"/>
  <c r="B7" i="6" l="1"/>
  <c r="B8" i="6" s="1"/>
  <c r="C8" i="6" s="1"/>
  <c r="C6" i="6"/>
  <c r="C7" i="6" s="1"/>
  <c r="B11" i="6"/>
  <c r="C11" i="6" s="1"/>
  <c r="C12" i="6" s="1"/>
  <c r="B13" i="6"/>
  <c r="C13" i="6" s="1"/>
  <c r="C14" i="6" s="1"/>
  <c r="C15" i="6" s="1"/>
  <c r="B17" i="6"/>
  <c r="C5" i="6"/>
  <c r="C9" i="6"/>
  <c r="C10" i="6" s="1"/>
  <c r="B18" i="6" l="1"/>
  <c r="B19" i="6" s="1"/>
  <c r="C17" i="6"/>
  <c r="C18" i="6" s="1"/>
  <c r="C19" i="6" l="1"/>
  <c r="C20" i="6" s="1"/>
  <c r="B20" i="6"/>
  <c r="B21" i="6" s="1"/>
  <c r="E26" i="5"/>
  <c r="B23" i="6" l="1"/>
  <c r="C21" i="6"/>
  <c r="C22" i="6" s="1"/>
  <c r="C23" i="6" s="1"/>
  <c r="O9" i="4"/>
  <c r="L9" i="5"/>
  <c r="I9" i="5"/>
  <c r="E14" i="5"/>
  <c r="I14" i="5" s="1"/>
  <c r="E12" i="5"/>
  <c r="F9" i="5"/>
  <c r="F10" i="5" s="1"/>
  <c r="F11" i="5" s="1"/>
  <c r="E10" i="5"/>
  <c r="I10" i="5" s="1"/>
  <c r="B46" i="6" l="1"/>
  <c r="B24" i="6"/>
  <c r="E13" i="5"/>
  <c r="I13" i="5" s="1"/>
  <c r="I12" i="5"/>
  <c r="E11" i="5"/>
  <c r="I11" i="5" s="1"/>
  <c r="E27" i="5"/>
  <c r="F27" i="5" s="1"/>
  <c r="G25" i="5"/>
  <c r="G26" i="5" s="1"/>
  <c r="G27" i="5" s="1"/>
  <c r="G28" i="5" s="1"/>
  <c r="G29" i="5" s="1"/>
  <c r="G30" i="5" s="1"/>
  <c r="G31" i="5" s="1"/>
  <c r="G32" i="5" s="1"/>
  <c r="G33" i="5" s="1"/>
  <c r="F26" i="5"/>
  <c r="L10" i="5"/>
  <c r="J11" i="5"/>
  <c r="K10" i="5"/>
  <c r="K14" i="5" s="1"/>
  <c r="H9" i="5"/>
  <c r="J9" i="5"/>
  <c r="H10" i="5"/>
  <c r="H13" i="5" s="1"/>
  <c r="H14" i="5" s="1"/>
  <c r="J10" i="5"/>
  <c r="G9" i="5"/>
  <c r="F12" i="5"/>
  <c r="H10" i="4"/>
  <c r="O10" i="4" s="1"/>
  <c r="C24" i="6" l="1"/>
  <c r="C25" i="6" s="1"/>
  <c r="B25" i="6"/>
  <c r="B26" i="6" s="1"/>
  <c r="B47" i="6"/>
  <c r="C46" i="6"/>
  <c r="C47" i="6" s="1"/>
  <c r="B69" i="6"/>
  <c r="E28" i="5"/>
  <c r="E29" i="5" s="1"/>
  <c r="G34" i="5"/>
  <c r="G35" i="5" s="1"/>
  <c r="G36" i="5" s="1"/>
  <c r="G37" i="5" s="1"/>
  <c r="G38" i="5" s="1"/>
  <c r="G39" i="5" s="1"/>
  <c r="G40" i="5" s="1"/>
  <c r="F28" i="5"/>
  <c r="H11" i="4"/>
  <c r="O11" i="4" s="1"/>
  <c r="L11" i="5"/>
  <c r="L12" i="5" s="1"/>
  <c r="F13" i="5"/>
  <c r="H12" i="5"/>
  <c r="G10" i="5"/>
  <c r="K9" i="5"/>
  <c r="K11" i="5" s="1"/>
  <c r="K12" i="5" s="1"/>
  <c r="K13" i="5" s="1"/>
  <c r="J14" i="5"/>
  <c r="J12" i="5"/>
  <c r="B75" i="6" l="1"/>
  <c r="C75" i="6" s="1"/>
  <c r="B70" i="6"/>
  <c r="C69" i="6"/>
  <c r="C70" i="6" s="1"/>
  <c r="C71" i="6" s="1"/>
  <c r="B27" i="6"/>
  <c r="C26" i="6"/>
  <c r="G41" i="5"/>
  <c r="G42" i="5" s="1"/>
  <c r="G43" i="5" s="1"/>
  <c r="E30" i="5"/>
  <c r="E31" i="5" s="1"/>
  <c r="E32" i="5" s="1"/>
  <c r="E33" i="5" s="1"/>
  <c r="E34" i="5" s="1"/>
  <c r="F29" i="5"/>
  <c r="H12" i="4"/>
  <c r="H13" i="4" s="1"/>
  <c r="O13" i="4" s="1"/>
  <c r="G11" i="5"/>
  <c r="G12" i="5" s="1"/>
  <c r="G13" i="5" s="1"/>
  <c r="L13" i="5" s="1"/>
  <c r="L14" i="5" s="1"/>
  <c r="H11" i="5"/>
  <c r="F14" i="5"/>
  <c r="J13" i="5"/>
  <c r="H7" i="1"/>
  <c r="H8" i="1" s="1"/>
  <c r="C7" i="1"/>
  <c r="C8" i="1" s="1"/>
  <c r="B8" i="1"/>
  <c r="B9" i="1" s="1"/>
  <c r="B10" i="1" s="1"/>
  <c r="B48" i="6" l="1"/>
  <c r="B28" i="6"/>
  <c r="B29" i="6" s="1"/>
  <c r="C27" i="6"/>
  <c r="C28" i="6"/>
  <c r="G44" i="5"/>
  <c r="G45" i="5" s="1"/>
  <c r="G46" i="5" s="1"/>
  <c r="F30" i="5"/>
  <c r="H14" i="4"/>
  <c r="O14" i="4" s="1"/>
  <c r="O12" i="4"/>
  <c r="G14" i="5"/>
  <c r="C9" i="1"/>
  <c r="C10" i="1" s="1"/>
  <c r="I7" i="1"/>
  <c r="I8" i="1" s="1"/>
  <c r="I9" i="1" s="1"/>
  <c r="H9" i="1"/>
  <c r="H10" i="1" s="1"/>
  <c r="B21" i="1"/>
  <c r="B28" i="1" s="1"/>
  <c r="B15" i="1"/>
  <c r="H15" i="1" s="1"/>
  <c r="I15" i="1" s="1"/>
  <c r="B11" i="1"/>
  <c r="B30" i="6" l="1"/>
  <c r="C29" i="6"/>
  <c r="C30" i="6" s="1"/>
  <c r="C48" i="6"/>
  <c r="C49" i="6" s="1"/>
  <c r="C50" i="6" s="1"/>
  <c r="B49" i="6"/>
  <c r="B50" i="6" s="1"/>
  <c r="B63" i="6" s="1"/>
  <c r="C63" i="6" s="1"/>
  <c r="B52" i="6"/>
  <c r="G47" i="5"/>
  <c r="G48" i="5" s="1"/>
  <c r="G49" i="5" s="1"/>
  <c r="F31" i="5"/>
  <c r="O15" i="4"/>
  <c r="I10" i="1"/>
  <c r="I18" i="1"/>
  <c r="H16" i="1"/>
  <c r="H21" i="1"/>
  <c r="C11" i="1"/>
  <c r="H11" i="1"/>
  <c r="H12" i="1" s="1"/>
  <c r="B16" i="1"/>
  <c r="C15" i="1"/>
  <c r="C16" i="1" s="1"/>
  <c r="B22" i="1"/>
  <c r="B12" i="1"/>
  <c r="B18" i="1"/>
  <c r="B58" i="6" l="1"/>
  <c r="C58" i="6" s="1"/>
  <c r="B64" i="6"/>
  <c r="C52" i="6"/>
  <c r="C53" i="6" s="1"/>
  <c r="B31" i="6"/>
  <c r="B53" i="6"/>
  <c r="B54" i="6" s="1"/>
  <c r="C54" i="6" s="1"/>
  <c r="G56" i="5"/>
  <c r="G50" i="5"/>
  <c r="F32" i="5"/>
  <c r="B20" i="1"/>
  <c r="O15" i="2"/>
  <c r="I16" i="1"/>
  <c r="I11" i="1"/>
  <c r="I12" i="1" s="1"/>
  <c r="B23" i="1"/>
  <c r="C23" i="1" s="1"/>
  <c r="C24" i="1" s="1"/>
  <c r="C22" i="1"/>
  <c r="B13" i="1"/>
  <c r="C12" i="1"/>
  <c r="C13" i="1" s="1"/>
  <c r="B19" i="1"/>
  <c r="C19" i="1" s="1"/>
  <c r="C20" i="1" s="1"/>
  <c r="C21" i="1" s="1"/>
  <c r="B17" i="1"/>
  <c r="C31" i="6" l="1"/>
  <c r="C32" i="6" s="1"/>
  <c r="C33" i="6" s="1"/>
  <c r="C34" i="6" s="1"/>
  <c r="B32" i="6"/>
  <c r="B33" i="6" s="1"/>
  <c r="B34" i="6" s="1"/>
  <c r="C64" i="6"/>
  <c r="B68" i="6"/>
  <c r="B65" i="6"/>
  <c r="G51" i="5"/>
  <c r="G52" i="5" s="1"/>
  <c r="G53" i="5" s="1"/>
  <c r="G57" i="5" s="1"/>
  <c r="F33" i="5"/>
  <c r="F34" i="5" s="1"/>
  <c r="F35" i="5" s="1"/>
  <c r="F36" i="5" s="1"/>
  <c r="E35" i="5"/>
  <c r="E36" i="5" s="1"/>
  <c r="E37" i="5" s="1"/>
  <c r="E38" i="5" s="1"/>
  <c r="B24" i="1"/>
  <c r="B25" i="1" s="1"/>
  <c r="C17" i="1"/>
  <c r="C18" i="1" s="1"/>
  <c r="H17" i="1"/>
  <c r="I17" i="1" s="1"/>
  <c r="B14" i="1"/>
  <c r="C14" i="1" s="1"/>
  <c r="H13" i="1"/>
  <c r="B71" i="6" l="1"/>
  <c r="C65" i="6"/>
  <c r="B55" i="6"/>
  <c r="B35" i="6"/>
  <c r="G54" i="5"/>
  <c r="G55" i="5" s="1"/>
  <c r="G58" i="5"/>
  <c r="G59" i="5" s="1"/>
  <c r="G60" i="5" s="1"/>
  <c r="G61" i="5" s="1"/>
  <c r="G62" i="5" s="1"/>
  <c r="F37" i="5"/>
  <c r="H14" i="1"/>
  <c r="I13" i="1"/>
  <c r="H18" i="1"/>
  <c r="H20" i="1"/>
  <c r="H19" i="1"/>
  <c r="B26" i="1"/>
  <c r="B27" i="1" s="1"/>
  <c r="C25" i="1"/>
  <c r="C26" i="1" s="1"/>
  <c r="C35" i="6" l="1"/>
  <c r="B36" i="6"/>
  <c r="C55" i="6"/>
  <c r="B59" i="6"/>
  <c r="B56" i="6"/>
  <c r="G67" i="5"/>
  <c r="G68" i="5" s="1"/>
  <c r="G69" i="5" s="1"/>
  <c r="G63" i="5"/>
  <c r="G64" i="5" s="1"/>
  <c r="G65" i="5" s="1"/>
  <c r="G66" i="5" s="1"/>
  <c r="E39" i="5"/>
  <c r="E40" i="5" s="1"/>
  <c r="E41" i="5" s="1"/>
  <c r="E42" i="5" s="1"/>
  <c r="F38" i="5"/>
  <c r="H29" i="1"/>
  <c r="H30" i="1" s="1"/>
  <c r="L14" i="2"/>
  <c r="I19" i="1"/>
  <c r="I22" i="1"/>
  <c r="I23" i="1" s="1"/>
  <c r="I24" i="1" s="1"/>
  <c r="I25" i="1" s="1"/>
  <c r="I26" i="1" s="1"/>
  <c r="I14" i="1"/>
  <c r="I20" i="1" s="1"/>
  <c r="I21" i="1" s="1"/>
  <c r="H22" i="1"/>
  <c r="H32" i="1" s="1"/>
  <c r="H23" i="1"/>
  <c r="H25" i="1" s="1"/>
  <c r="H26" i="1" s="1"/>
  <c r="H33" i="1"/>
  <c r="H34" i="1" s="1"/>
  <c r="H28" i="1"/>
  <c r="H24" i="1"/>
  <c r="H27" i="1" s="1"/>
  <c r="H38" i="1" s="1"/>
  <c r="B29" i="1"/>
  <c r="C27" i="1"/>
  <c r="C28" i="1" s="1"/>
  <c r="C29" i="1" s="1"/>
  <c r="B62" i="6" l="1"/>
  <c r="C62" i="6" s="1"/>
  <c r="C56" i="6"/>
  <c r="B57" i="6"/>
  <c r="C57" i="6" s="1"/>
  <c r="C59" i="6"/>
  <c r="B72" i="6"/>
  <c r="C72" i="6" s="1"/>
  <c r="C36" i="6"/>
  <c r="C37" i="6" s="1"/>
  <c r="B37" i="6"/>
  <c r="E43" i="5"/>
  <c r="E44" i="5" s="1"/>
  <c r="F42" i="5"/>
  <c r="F43" i="5" s="1"/>
  <c r="F39" i="5"/>
  <c r="F40" i="5" s="1"/>
  <c r="F41" i="5" s="1"/>
  <c r="I29" i="1"/>
  <c r="I27" i="1"/>
  <c r="I28" i="1" s="1"/>
  <c r="H39" i="1"/>
  <c r="H44" i="1" s="1"/>
  <c r="H31" i="1"/>
  <c r="H35" i="1"/>
  <c r="H43" i="1"/>
  <c r="H37" i="1"/>
  <c r="H50" i="1" s="1"/>
  <c r="B52" i="1"/>
  <c r="B30" i="1"/>
  <c r="B60" i="6" l="1"/>
  <c r="B38" i="6"/>
  <c r="E45" i="5"/>
  <c r="E46" i="5" s="1"/>
  <c r="F44" i="5"/>
  <c r="F45" i="5" s="1"/>
  <c r="I36" i="1"/>
  <c r="I37" i="1" s="1"/>
  <c r="I40" i="1" s="1"/>
  <c r="I30" i="1"/>
  <c r="H40" i="1"/>
  <c r="H45" i="1" s="1"/>
  <c r="H11" i="2" s="1"/>
  <c r="H46" i="1"/>
  <c r="H36" i="1"/>
  <c r="H42" i="1"/>
  <c r="H55" i="1" s="1"/>
  <c r="B31" i="1"/>
  <c r="B32" i="1" s="1"/>
  <c r="C30" i="1"/>
  <c r="C31" i="1" s="1"/>
  <c r="C52" i="1"/>
  <c r="C53" i="1" s="1"/>
  <c r="B53" i="1"/>
  <c r="B75" i="1"/>
  <c r="B39" i="6" l="1"/>
  <c r="C38" i="6"/>
  <c r="B44" i="6"/>
  <c r="C44" i="6" s="1"/>
  <c r="B66" i="6"/>
  <c r="B61" i="6"/>
  <c r="C60" i="6"/>
  <c r="F46" i="5"/>
  <c r="F47" i="5" s="1"/>
  <c r="F48" i="5" s="1"/>
  <c r="F49" i="5" s="1"/>
  <c r="F50" i="5" s="1"/>
  <c r="F51" i="5" s="1"/>
  <c r="E47" i="5"/>
  <c r="E48" i="5" s="1"/>
  <c r="E49" i="5" s="1"/>
  <c r="E50" i="5" s="1"/>
  <c r="I41" i="1"/>
  <c r="I35" i="1"/>
  <c r="I52" i="1" s="1"/>
  <c r="I31" i="1"/>
  <c r="I32" i="1" s="1"/>
  <c r="I38" i="1"/>
  <c r="H48" i="1"/>
  <c r="H56" i="1"/>
  <c r="H57" i="1" s="1"/>
  <c r="H49" i="1"/>
  <c r="H47" i="1"/>
  <c r="H60" i="1" s="1"/>
  <c r="H41" i="1"/>
  <c r="H51" i="1" s="1"/>
  <c r="C75" i="1"/>
  <c r="C76" i="1" s="1"/>
  <c r="C77" i="1" s="1"/>
  <c r="B81" i="1"/>
  <c r="C81" i="1" s="1"/>
  <c r="B76" i="1"/>
  <c r="B33" i="1"/>
  <c r="C32" i="1"/>
  <c r="B67" i="6" l="1"/>
  <c r="C67" i="6" s="1"/>
  <c r="C68" i="6" s="1"/>
  <c r="C66" i="6"/>
  <c r="C61" i="6"/>
  <c r="B73" i="6"/>
  <c r="C39" i="6"/>
  <c r="B40" i="6"/>
  <c r="F52" i="5"/>
  <c r="F53" i="5" s="1"/>
  <c r="F54" i="5" s="1"/>
  <c r="F55" i="5" s="1"/>
  <c r="F56" i="5" s="1"/>
  <c r="F57" i="5" s="1"/>
  <c r="E51" i="5"/>
  <c r="I45" i="1"/>
  <c r="I43" i="1"/>
  <c r="I44" i="1" s="1"/>
  <c r="I54" i="1" s="1"/>
  <c r="I46" i="1"/>
  <c r="I47" i="1" s="1"/>
  <c r="I53" i="1"/>
  <c r="I39" i="1"/>
  <c r="I42" i="1" s="1"/>
  <c r="I51" i="1" s="1"/>
  <c r="I50" i="1"/>
  <c r="I33" i="1"/>
  <c r="I34" i="1"/>
  <c r="I57" i="1"/>
  <c r="I61" i="1" s="1"/>
  <c r="I55" i="1"/>
  <c r="I58" i="1" s="1"/>
  <c r="I59" i="1" s="1"/>
  <c r="I63" i="1" s="1"/>
  <c r="I62" i="1"/>
  <c r="I74" i="1" s="1"/>
  <c r="I75" i="1" s="1"/>
  <c r="I76" i="1" s="1"/>
  <c r="I81" i="1" s="1"/>
  <c r="H63" i="1"/>
  <c r="H58" i="1"/>
  <c r="H59" i="1" s="1"/>
  <c r="H52" i="1"/>
  <c r="H53" i="1" s="1"/>
  <c r="H54" i="1" s="1"/>
  <c r="H61" i="1"/>
  <c r="B34" i="1"/>
  <c r="B35" i="1" s="1"/>
  <c r="B54" i="1"/>
  <c r="C33" i="1"/>
  <c r="C34" i="1"/>
  <c r="B41" i="6" l="1"/>
  <c r="C40" i="6"/>
  <c r="C41" i="6" s="1"/>
  <c r="C42" i="6" s="1"/>
  <c r="C43" i="6" s="1"/>
  <c r="B74" i="6"/>
  <c r="C74" i="6" s="1"/>
  <c r="C73" i="6"/>
  <c r="E52" i="5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F58" i="5"/>
  <c r="F59" i="5" s="1"/>
  <c r="F60" i="5" s="1"/>
  <c r="F61" i="5"/>
  <c r="F62" i="5" s="1"/>
  <c r="F63" i="5" s="1"/>
  <c r="F64" i="5" s="1"/>
  <c r="F65" i="5" s="1"/>
  <c r="F66" i="5" s="1"/>
  <c r="F67" i="5" s="1"/>
  <c r="I64" i="1"/>
  <c r="I48" i="1"/>
  <c r="I49" i="1" s="1"/>
  <c r="I60" i="1"/>
  <c r="I56" i="1"/>
  <c r="I65" i="1" s="1"/>
  <c r="H64" i="1"/>
  <c r="H69" i="1" s="1"/>
  <c r="H62" i="1"/>
  <c r="H65" i="1" s="1"/>
  <c r="H66" i="1" s="1"/>
  <c r="C54" i="1"/>
  <c r="C55" i="1" s="1"/>
  <c r="C56" i="1" s="1"/>
  <c r="B58" i="1"/>
  <c r="B55" i="1"/>
  <c r="B56" i="1" s="1"/>
  <c r="B69" i="1" s="1"/>
  <c r="C69" i="1" s="1"/>
  <c r="B36" i="1"/>
  <c r="C35" i="1"/>
  <c r="C36" i="1" s="1"/>
  <c r="B42" i="6" l="1"/>
  <c r="B43" i="6" s="1"/>
  <c r="B45" i="6"/>
  <c r="F68" i="5"/>
  <c r="F69" i="5" s="1"/>
  <c r="E66" i="5"/>
  <c r="E67" i="5" s="1"/>
  <c r="E68" i="5" s="1"/>
  <c r="I69" i="1"/>
  <c r="I70" i="1" s="1"/>
  <c r="I71" i="1" s="1"/>
  <c r="I72" i="1" s="1"/>
  <c r="I73" i="1" s="1"/>
  <c r="I66" i="1"/>
  <c r="H71" i="1"/>
  <c r="H67" i="1"/>
  <c r="B37" i="1"/>
  <c r="B59" i="1"/>
  <c r="C58" i="1"/>
  <c r="C59" i="1" s="1"/>
  <c r="B64" i="1"/>
  <c r="C64" i="1" s="1"/>
  <c r="B70" i="1"/>
  <c r="B51" i="6" l="1"/>
  <c r="C51" i="6" s="1"/>
  <c r="C45" i="6"/>
  <c r="E69" i="5"/>
  <c r="F25" i="5" s="1"/>
  <c r="B60" i="1"/>
  <c r="C60" i="1" s="1"/>
  <c r="H9" i="2"/>
  <c r="I68" i="1"/>
  <c r="I77" i="1" s="1"/>
  <c r="I78" i="1" s="1"/>
  <c r="I79" i="1" s="1"/>
  <c r="I80" i="1" s="1"/>
  <c r="I67" i="1"/>
  <c r="H68" i="1"/>
  <c r="H73" i="1" s="1"/>
  <c r="H70" i="1"/>
  <c r="H75" i="1" s="1"/>
  <c r="H76" i="1" s="1"/>
  <c r="H77" i="1" s="1"/>
  <c r="H78" i="1" s="1"/>
  <c r="H79" i="1" s="1"/>
  <c r="H80" i="1" s="1"/>
  <c r="H81" i="1"/>
  <c r="H74" i="1"/>
  <c r="H72" i="1"/>
  <c r="C70" i="1"/>
  <c r="B74" i="1"/>
  <c r="B71" i="1"/>
  <c r="B38" i="1"/>
  <c r="B39" i="1" s="1"/>
  <c r="B40" i="1" s="1"/>
  <c r="C37" i="1"/>
  <c r="C38" i="1" s="1"/>
  <c r="C39" i="1" s="1"/>
  <c r="C40" i="1" s="1"/>
  <c r="B61" i="1" l="1"/>
  <c r="B41" i="1"/>
  <c r="B77" i="1"/>
  <c r="C71" i="1"/>
  <c r="C61" i="1" l="1"/>
  <c r="B62" i="1"/>
  <c r="B65" i="1"/>
  <c r="B42" i="1"/>
  <c r="C41" i="1"/>
  <c r="C62" i="1" l="1"/>
  <c r="B63" i="1"/>
  <c r="C63" i="1" s="1"/>
  <c r="B68" i="1"/>
  <c r="C68" i="1" s="1"/>
  <c r="B43" i="1"/>
  <c r="C42" i="1"/>
  <c r="C43" i="1" s="1"/>
  <c r="B78" i="1"/>
  <c r="C78" i="1" s="1"/>
  <c r="C65" i="1"/>
  <c r="B44" i="1" l="1"/>
  <c r="B66" i="1"/>
  <c r="C66" i="1" l="1"/>
  <c r="B67" i="1"/>
  <c r="B72" i="1"/>
  <c r="C44" i="1"/>
  <c r="B45" i="1"/>
  <c r="B50" i="1"/>
  <c r="C50" i="1" s="1"/>
  <c r="B73" i="1" l="1"/>
  <c r="C73" i="1" s="1"/>
  <c r="C74" i="1" s="1"/>
  <c r="C72" i="1"/>
  <c r="B79" i="1"/>
  <c r="C67" i="1"/>
  <c r="B46" i="1"/>
  <c r="C45" i="1"/>
  <c r="B47" i="1" l="1"/>
  <c r="C46" i="1"/>
  <c r="C47" i="1" s="1"/>
  <c r="C48" i="1" s="1"/>
  <c r="C49" i="1" s="1"/>
  <c r="B80" i="1"/>
  <c r="C80" i="1" s="1"/>
  <c r="C79" i="1"/>
  <c r="B48" i="1" l="1"/>
  <c r="B49" i="1" s="1"/>
  <c r="B51" i="1"/>
  <c r="B57" i="1" l="1"/>
  <c r="C57" i="1" s="1"/>
  <c r="C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Francisco</author>
  </authors>
  <commentList>
    <comment ref="B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Inserir aqui ou seu RA ou um número aleatório ou um número fornecido peloprofessor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Francisco</author>
  </authors>
  <commentList>
    <comment ref="B1" authorId="0" shapeId="0" xr:uid="{474A751F-5AD9-4C6A-AB86-BD905C4D8FFC}">
      <text>
        <r>
          <rPr>
            <b/>
            <sz val="9"/>
            <color indexed="81"/>
            <rFont val="Tahoma"/>
            <family val="2"/>
          </rPr>
          <t xml:space="preserve">Inserir aqui ou seu RA ou um número aleatório ou um número fornecido peloprofessor 
</t>
        </r>
      </text>
    </comment>
  </commentList>
</comments>
</file>

<file path=xl/sharedStrings.xml><?xml version="1.0" encoding="utf-8"?>
<sst xmlns="http://schemas.openxmlformats.org/spreadsheetml/2006/main" count="171" uniqueCount="163">
  <si>
    <t xml:space="preserve">Trabalho de pesquisa e resolcuções - valor 6,00  -  ( pois primeiro 1,00 segundo 1,50 e terceiro 1,50 completos) </t>
  </si>
  <si>
    <t>data</t>
  </si>
  <si>
    <t>Sistema controle A1c</t>
  </si>
  <si>
    <t xml:space="preserve">Empresa Tabfim tem dois estudos de períodos diferentes de trabalho, Qual você irá analissar e concluir . </t>
  </si>
  <si>
    <t xml:space="preserve">Saidas retrabalho </t>
  </si>
  <si>
    <t>Período Manhã Supervisor  Zé Silva</t>
  </si>
  <si>
    <t>periodo noturno Supervisor  Zé Silva</t>
  </si>
  <si>
    <t xml:space="preserve">podendo ser realizado os cáculos por excel ou minitab. Enviar as soluções junto com as suas análises por e-mail. </t>
  </si>
  <si>
    <t>SOLICITE CONFIRMAÇÃO do e-mail .</t>
  </si>
  <si>
    <t xml:space="preserve">Forma de envio :  </t>
  </si>
  <si>
    <t xml:space="preserve"> Para envio dos arquivos :</t>
  </si>
  <si>
    <t>facens_joao@outlook.com</t>
  </si>
  <si>
    <t>obrigatóriamente - pode confirmar por outro e-mail</t>
  </si>
  <si>
    <t>E-mail especialmente para esta finalidade</t>
  </si>
  <si>
    <t>Para utilizar os dados e concluir sobre suas respostas.</t>
  </si>
  <si>
    <t xml:space="preserve">a) Avaliação dos dados pela estatística descritiva  ( 04 colunas )  </t>
  </si>
  <si>
    <t>b) Analise a correlação  do período da manhã e da noite em separados e</t>
  </si>
  <si>
    <t>qual a probabilidade de em abril 2018</t>
  </si>
  <si>
    <t>manhã</t>
  </si>
  <si>
    <t>Qual será o retrabalho  (mínimo e máximo?)</t>
  </si>
  <si>
    <t>noite</t>
  </si>
  <si>
    <t>Qual será o retrabalho</t>
  </si>
  <si>
    <t xml:space="preserve">c) Faça a curva normal padronizada  - </t>
  </si>
  <si>
    <t xml:space="preserve">d) No sistema do período da manhã com o cáculo do IC a 95% determine se o valor está aceito </t>
  </si>
  <si>
    <t xml:space="preserve">e) Calcule o T-student para determinar se a inspeção do supervisor obteve diferenças nas produções do períodos estudados </t>
  </si>
  <si>
    <t>f) faça a carta de controle apena para um período e analise</t>
  </si>
  <si>
    <t>Padrão do componentes do produto XTSAH</t>
  </si>
  <si>
    <t>Normatização 0844FACENS</t>
  </si>
  <si>
    <t xml:space="preserve">Padraão substâncias </t>
  </si>
  <si>
    <t>%</t>
  </si>
  <si>
    <t>chumbo</t>
  </si>
  <si>
    <t>Ferro</t>
  </si>
  <si>
    <t>cromo</t>
  </si>
  <si>
    <t>níquel</t>
  </si>
  <si>
    <t>para a planilha :</t>
  </si>
  <si>
    <t>"BASE DOS DADOS"</t>
  </si>
  <si>
    <t>Suas análises sobre a planilha fornecida</t>
  </si>
  <si>
    <t>para a Planilha :</t>
  </si>
  <si>
    <t>"parte 2 planilha"</t>
  </si>
  <si>
    <t xml:space="preserve">a) </t>
  </si>
  <si>
    <t>Não haverá dados iguais ……Conclusões parecidas sem problemas !!!</t>
  </si>
  <si>
    <t>ouro puro</t>
  </si>
  <si>
    <t>ouro t3</t>
  </si>
  <si>
    <t>de 10 a 45</t>
  </si>
  <si>
    <t>Produto encontrado na Jazida  XTSBW</t>
  </si>
  <si>
    <t>amostra 0-99-15AF</t>
  </si>
  <si>
    <t>Padrão</t>
  </si>
  <si>
    <t>Amostra</t>
  </si>
  <si>
    <t xml:space="preserve">Peça retirada jazida </t>
  </si>
  <si>
    <t>composição em mmg</t>
  </si>
  <si>
    <t>Ouro puro</t>
  </si>
  <si>
    <t>ferro</t>
  </si>
  <si>
    <t>niquel</t>
  </si>
  <si>
    <t>Precisamos determinar se a substância coletada na jazida XTSBW é compatível com o padrão normatizado pela faculdade</t>
  </si>
  <si>
    <t xml:space="preserve">Sabendo-se que desejamos  quanto mais Ouro Puro mais comércio </t>
  </si>
  <si>
    <t>Utilize qui quadrado</t>
  </si>
  <si>
    <t>Utilizar Qui Quadrado</t>
  </si>
  <si>
    <t xml:space="preserve">Conclua a respeito </t>
  </si>
  <si>
    <t>utilize quaisquer métodos para converser da sua conclusão</t>
  </si>
  <si>
    <t>Inserir número</t>
  </si>
  <si>
    <t xml:space="preserve">Nesta célula inserir um número de 10 a 45 ( fornecido pelo professor ou se utilizar de um número avisar o professor para não repetir </t>
  </si>
  <si>
    <t xml:space="preserve">Conclusões obrigatórias </t>
  </si>
  <si>
    <t xml:space="preserve">d1)No sistema do periodo noite determine se é aceito com 99,74% </t>
  </si>
  <si>
    <t>Seja cuidadoso(a) interprete os dados !</t>
  </si>
  <si>
    <t>comércio</t>
  </si>
  <si>
    <t xml:space="preserve">Serviços </t>
  </si>
  <si>
    <t>Indústria</t>
  </si>
  <si>
    <t>Serviços A</t>
  </si>
  <si>
    <t>Comércio A</t>
  </si>
  <si>
    <t xml:space="preserve">Indústria  A </t>
  </si>
  <si>
    <t xml:space="preserve">Incompatibildiade </t>
  </si>
  <si>
    <t>no sistema</t>
  </si>
  <si>
    <t>Operadores</t>
  </si>
  <si>
    <t>Instabilidd</t>
  </si>
  <si>
    <t>Gerencial</t>
  </si>
  <si>
    <t>planej.</t>
  </si>
  <si>
    <t>sem metas</t>
  </si>
  <si>
    <t>incomp.</t>
  </si>
  <si>
    <t>do TI</t>
  </si>
  <si>
    <t>Apoio</t>
  </si>
  <si>
    <t>logístico</t>
  </si>
  <si>
    <t xml:space="preserve">Apoio </t>
  </si>
  <si>
    <t>metas</t>
  </si>
  <si>
    <t>atingidas</t>
  </si>
  <si>
    <t>Pesquisa realizada na empresa FCV para determinar se o clientes que atende há uma homogeniedade pois se houver os problemas estão</t>
  </si>
  <si>
    <t>no quesitos pesquisados  e poderemos determinar onde corrigir, caso contrário não depende da empresa mas sim de outros fatores</t>
  </si>
  <si>
    <t>(remodelei a pesquisa para não caracterizar cópia ) utiliza Qui-quadrado</t>
  </si>
  <si>
    <t>1)</t>
  </si>
  <si>
    <t>sem treinamento</t>
  </si>
  <si>
    <t>2)</t>
  </si>
  <si>
    <t>Com os dados fornecidos na planilha "Base de dados" calcule:</t>
  </si>
  <si>
    <t>a) Analise manhã e noite pela comparação de F-Snedecor</t>
  </si>
  <si>
    <t xml:space="preserve">b) Analise manhã e noite pela comparação de médias - T-student </t>
  </si>
  <si>
    <t>Compare suas análises !!</t>
  </si>
  <si>
    <t>Notas atribuídas de  zero a 100</t>
  </si>
  <si>
    <t>valor de 30 a 67</t>
  </si>
  <si>
    <t xml:space="preserve">para a planilha </t>
  </si>
  <si>
    <t>base de dados</t>
  </si>
  <si>
    <t xml:space="preserve">inserir o número fornecido pelo professor </t>
  </si>
  <si>
    <t xml:space="preserve">Para envio do arquivo: exemplo para envio -  </t>
  </si>
  <si>
    <t xml:space="preserve">   </t>
  </si>
  <si>
    <t>joaofranciscopiresluiz_RA_____.xls</t>
  </si>
  <si>
    <t>joaofranciscopiresluiz_RA_____.doc</t>
  </si>
  <si>
    <t xml:space="preserve">Para a planilha </t>
  </si>
  <si>
    <t xml:space="preserve">Parte final 3 </t>
  </si>
  <si>
    <t xml:space="preserve">Análise qui-quadrado - utilize softwares o interesse é a sua análise </t>
  </si>
  <si>
    <t>seja convincente !</t>
  </si>
  <si>
    <t xml:space="preserve">Com a coleta de dados abaixo referente a temperatura do chip durante os períodos manhã, tarde e noite por amostragem </t>
  </si>
  <si>
    <t>Manhã</t>
  </si>
  <si>
    <t>tarde</t>
  </si>
  <si>
    <t>por hora</t>
  </si>
  <si>
    <t>valor entre 95 a 183</t>
  </si>
  <si>
    <t>amostra 1</t>
  </si>
  <si>
    <t>amostra 2</t>
  </si>
  <si>
    <t>amostra 3</t>
  </si>
  <si>
    <t>amostra 4</t>
  </si>
  <si>
    <t>amostra 5</t>
  </si>
  <si>
    <t>amostra 6</t>
  </si>
  <si>
    <t>amostra 7</t>
  </si>
  <si>
    <t>amostra 8</t>
  </si>
  <si>
    <t>amostra 9</t>
  </si>
  <si>
    <t>amostra 10</t>
  </si>
  <si>
    <t>amostra 11</t>
  </si>
  <si>
    <t>amostra 12</t>
  </si>
  <si>
    <t>amostra 13</t>
  </si>
  <si>
    <t>amostra 14</t>
  </si>
  <si>
    <t>amostra 15</t>
  </si>
  <si>
    <t>amostra 16</t>
  </si>
  <si>
    <t>amostra 17</t>
  </si>
  <si>
    <t>amostra 18</t>
  </si>
  <si>
    <t>amostra 19</t>
  </si>
  <si>
    <t>amostra 20</t>
  </si>
  <si>
    <t>amostra 21</t>
  </si>
  <si>
    <t>amostra 22</t>
  </si>
  <si>
    <t>amostra 23</t>
  </si>
  <si>
    <t>amostra 24</t>
  </si>
  <si>
    <t>amostra 25</t>
  </si>
  <si>
    <t>amostra 26</t>
  </si>
  <si>
    <t>amostra 27</t>
  </si>
  <si>
    <t>amostra 28</t>
  </si>
  <si>
    <t>amostra 29</t>
  </si>
  <si>
    <t>amostra 30</t>
  </si>
  <si>
    <t>amostra 31</t>
  </si>
  <si>
    <t>amostra 32</t>
  </si>
  <si>
    <t>amostra 33</t>
  </si>
  <si>
    <t>amostra 34</t>
  </si>
  <si>
    <t>amostra 35</t>
  </si>
  <si>
    <t>amostra 36</t>
  </si>
  <si>
    <t>amostra 37</t>
  </si>
  <si>
    <t>amostra 38</t>
  </si>
  <si>
    <t>amostra 39</t>
  </si>
  <si>
    <t>amostra 40</t>
  </si>
  <si>
    <t>amostra 41</t>
  </si>
  <si>
    <t>amostra 42</t>
  </si>
  <si>
    <t>amostra 43</t>
  </si>
  <si>
    <t>amostra 44</t>
  </si>
  <si>
    <t>amostra 45</t>
  </si>
  <si>
    <t>para a planilha</t>
  </si>
  <si>
    <t>parte final 3</t>
  </si>
  <si>
    <t xml:space="preserve">Cálculo da anova e  concluir se as amostras tem influência com o período retirado . </t>
  </si>
  <si>
    <t xml:space="preserve">Análises </t>
  </si>
  <si>
    <t>Sistema controle Atc</t>
  </si>
  <si>
    <t xml:space="preserve">Trabalho a entregar - prazo inicia dia 04/04/2018 para entrega até dia 14/04/2018 - envio por e-mail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</si>
</sst>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1FFC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" fontId="0" fillId="3" borderId="1" xfId="0" applyNumberFormat="1" applyFill="1" applyBorder="1"/>
    <xf numFmtId="0" fontId="2" fillId="6" borderId="0" xfId="0" applyFont="1" applyFill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0" xfId="0" applyBorder="1"/>
    <xf numFmtId="0" fontId="0" fillId="0" borderId="0" xfId="0" applyFill="1" applyBorder="1"/>
    <xf numFmtId="10" fontId="0" fillId="2" borderId="6" xfId="1" applyNumberFormat="1" applyFont="1" applyFill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1" fontId="0" fillId="0" borderId="0" xfId="0" applyNumberFormat="1" applyBorder="1"/>
    <xf numFmtId="1" fontId="0" fillId="0" borderId="6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0" fillId="2" borderId="0" xfId="0" applyFill="1"/>
    <xf numFmtId="0" fontId="0" fillId="7" borderId="0" xfId="0" applyFill="1"/>
    <xf numFmtId="0" fontId="0" fillId="8" borderId="0" xfId="0" applyFill="1"/>
    <xf numFmtId="1" fontId="0" fillId="9" borderId="0" xfId="0" applyNumberFormat="1" applyFill="1"/>
    <xf numFmtId="0" fontId="0" fillId="0" borderId="14" xfId="0" applyBorder="1"/>
    <xf numFmtId="0" fontId="0" fillId="0" borderId="15" xfId="0" applyBorder="1"/>
    <xf numFmtId="0" fontId="0" fillId="10" borderId="0" xfId="0" applyFill="1" applyAlignment="1">
      <alignment horizontal="right"/>
    </xf>
    <xf numFmtId="0" fontId="0" fillId="0" borderId="11" xfId="0" applyBorder="1" applyAlignment="1">
      <alignment horizontal="center"/>
    </xf>
    <xf numFmtId="0" fontId="0" fillId="9" borderId="10" xfId="0" applyFill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5" borderId="0" xfId="0" applyFill="1"/>
    <xf numFmtId="0" fontId="0" fillId="0" borderId="0" xfId="0" applyFill="1" applyAlignment="1">
      <alignment horizontal="right"/>
    </xf>
    <xf numFmtId="1" fontId="0" fillId="11" borderId="13" xfId="0" applyNumberFormat="1" applyFill="1" applyBorder="1" applyAlignment="1">
      <alignment horizontal="center"/>
    </xf>
    <xf numFmtId="0" fontId="0" fillId="11" borderId="13" xfId="0" applyFill="1" applyBorder="1"/>
    <xf numFmtId="0" fontId="0" fillId="2" borderId="8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0" xfId="0" applyFill="1"/>
    <xf numFmtId="0" fontId="5" fillId="0" borderId="0" xfId="0" applyFont="1"/>
    <xf numFmtId="0" fontId="0" fillId="14" borderId="0" xfId="0" applyFill="1"/>
    <xf numFmtId="0" fontId="6" fillId="2" borderId="0" xfId="0" applyFont="1" applyFill="1"/>
    <xf numFmtId="0" fontId="7" fillId="2" borderId="0" xfId="0" applyFont="1" applyFill="1"/>
    <xf numFmtId="0" fontId="0" fillId="0" borderId="0" xfId="0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13" borderId="2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4" fillId="0" borderId="0" xfId="0" applyFont="1"/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FFFF"/>
      <color rgb="FFB1FFC4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2:I345"/>
  <sheetViews>
    <sheetView topLeftCell="A47" workbookViewId="0">
      <selection activeCell="A7" sqref="A7:C81"/>
    </sheetView>
  </sheetViews>
  <sheetFormatPr defaultRowHeight="15" x14ac:dyDescent="0.25"/>
  <cols>
    <col min="1" max="1" width="12.28515625" style="1" customWidth="1"/>
    <col min="2" max="2" width="29" customWidth="1"/>
    <col min="3" max="3" width="20.28515625" customWidth="1"/>
    <col min="8" max="8" width="26.42578125" customWidth="1"/>
    <col min="9" max="9" width="23.7109375" customWidth="1"/>
  </cols>
  <sheetData>
    <row r="2" spans="1:9" ht="18.75" x14ac:dyDescent="0.3">
      <c r="C2" s="59" t="s">
        <v>0</v>
      </c>
      <c r="D2" s="60"/>
      <c r="E2" s="60"/>
      <c r="F2" s="60"/>
      <c r="G2" s="60"/>
      <c r="H2" s="60"/>
      <c r="I2" s="60"/>
    </row>
    <row r="3" spans="1:9" x14ac:dyDescent="0.25">
      <c r="C3" t="s">
        <v>3</v>
      </c>
    </row>
    <row r="4" spans="1:9" x14ac:dyDescent="0.25">
      <c r="B4" s="39"/>
      <c r="C4" t="s">
        <v>59</v>
      </c>
    </row>
    <row r="5" spans="1:9" x14ac:dyDescent="0.25">
      <c r="B5" t="s">
        <v>5</v>
      </c>
      <c r="H5" t="s">
        <v>6</v>
      </c>
    </row>
    <row r="6" spans="1:9" ht="15.75" thickBot="1" x14ac:dyDescent="0.3">
      <c r="A6" s="3" t="s">
        <v>1</v>
      </c>
      <c r="B6" s="4" t="s">
        <v>2</v>
      </c>
      <c r="C6" s="5" t="s">
        <v>4</v>
      </c>
      <c r="G6" s="3" t="s">
        <v>1</v>
      </c>
      <c r="H6" s="4" t="s">
        <v>161</v>
      </c>
      <c r="I6" s="5" t="s">
        <v>4</v>
      </c>
    </row>
    <row r="7" spans="1:9" ht="15.75" thickBot="1" x14ac:dyDescent="0.3">
      <c r="A7" s="2">
        <v>40909</v>
      </c>
      <c r="B7" s="8">
        <v>183134</v>
      </c>
      <c r="C7" s="7">
        <f>B7*0.023</f>
        <v>4212.0820000000003</v>
      </c>
      <c r="G7" s="2">
        <v>40909</v>
      </c>
      <c r="H7" s="7">
        <f>B7*0.77553311</f>
        <v>142026.48056674001</v>
      </c>
      <c r="I7" s="7">
        <f>(H7*0.0898)/(1.97)</f>
        <v>6474.1004847173872</v>
      </c>
    </row>
    <row r="8" spans="1:9" x14ac:dyDescent="0.25">
      <c r="A8" s="2">
        <v>40940</v>
      </c>
      <c r="B8" s="7">
        <f>B7*0.897887878</f>
        <v>164433.79864965202</v>
      </c>
      <c r="C8" s="7">
        <f>C7*0.898</f>
        <v>3782.4496360000003</v>
      </c>
      <c r="G8" s="2">
        <v>40940</v>
      </c>
      <c r="H8" s="7">
        <f>H7*0.93242</f>
        <v>132428.33101003972</v>
      </c>
      <c r="I8" s="7">
        <f>I7*0.88787</f>
        <v>5748.1595973660269</v>
      </c>
    </row>
    <row r="9" spans="1:9" x14ac:dyDescent="0.25">
      <c r="A9" s="2">
        <v>40969</v>
      </c>
      <c r="B9" s="7">
        <f>B8*1.1124324</f>
        <v>182921.48527294918</v>
      </c>
      <c r="C9" s="7">
        <f>B9*0.023</f>
        <v>4207.194161277831</v>
      </c>
      <c r="G9" s="2">
        <v>40969</v>
      </c>
      <c r="H9" s="7">
        <f t="shared" ref="H9" si="0">B9*0.77553311</f>
        <v>141861.66835954948</v>
      </c>
      <c r="I9" s="7">
        <f>I8*1.089</f>
        <v>6259.7458015316033</v>
      </c>
    </row>
    <row r="10" spans="1:9" x14ac:dyDescent="0.25">
      <c r="A10" s="2">
        <v>41000</v>
      </c>
      <c r="B10" s="7">
        <f>B9*0.9435363</f>
        <v>172593.06140494297</v>
      </c>
      <c r="C10" s="7">
        <f>C9*0.8787</f>
        <v>3696.8615095148302</v>
      </c>
      <c r="G10" s="2">
        <v>41000</v>
      </c>
      <c r="H10" s="7">
        <f t="shared" ref="H10" si="1">H9*0.93242</f>
        <v>132274.65681181115</v>
      </c>
      <c r="I10" s="7">
        <f>I9*0.8324</f>
        <v>5210.6124051949064</v>
      </c>
    </row>
    <row r="11" spans="1:9" x14ac:dyDescent="0.25">
      <c r="A11" s="2">
        <v>41030</v>
      </c>
      <c r="B11" s="7">
        <f>B8*1.046353</f>
        <v>172055.79851845934</v>
      </c>
      <c r="C11" s="7">
        <f>B11*0.023</f>
        <v>3957.2833659245648</v>
      </c>
      <c r="G11" s="2">
        <v>41030</v>
      </c>
      <c r="H11" s="7">
        <f t="shared" ref="H11" si="2">B11*0.77553311</f>
        <v>133434.96851855417</v>
      </c>
      <c r="I11" s="7">
        <f>I10*1.0425</f>
        <v>5432.0634324156899</v>
      </c>
    </row>
    <row r="12" spans="1:9" x14ac:dyDescent="0.25">
      <c r="A12" s="2">
        <v>41061</v>
      </c>
      <c r="B12" s="7">
        <f>B11*1.4536636</f>
        <v>250111.25147521828</v>
      </c>
      <c r="C12" s="7">
        <f>B12*0.03</f>
        <v>7503.3375442565484</v>
      </c>
      <c r="G12" s="2">
        <v>41061</v>
      </c>
      <c r="H12" s="7">
        <f t="shared" ref="H12" si="3">H11*0.93242</f>
        <v>124417.43334607029</v>
      </c>
      <c r="I12" s="7">
        <f>I11*0.7741</f>
        <v>4204.9603030329854</v>
      </c>
    </row>
    <row r="13" spans="1:9" x14ac:dyDescent="0.25">
      <c r="A13" s="2">
        <v>41091</v>
      </c>
      <c r="B13" s="7">
        <f>B12*0.8834</f>
        <v>220948.2795532078</v>
      </c>
      <c r="C13" s="7">
        <f>C12*0.8424</f>
        <v>6320.8115472817162</v>
      </c>
      <c r="G13" s="2">
        <v>41091</v>
      </c>
      <c r="H13" s="7">
        <f t="shared" ref="H13" si="4">B13*0.77553311</f>
        <v>171352.70639104868</v>
      </c>
      <c r="I13" s="7">
        <f>(H13*0.0898)/(1.97)</f>
        <v>7810.9000172163314</v>
      </c>
    </row>
    <row r="14" spans="1:9" x14ac:dyDescent="0.25">
      <c r="A14" s="2">
        <v>41122</v>
      </c>
      <c r="B14" s="7">
        <f>B13*1.13451</f>
        <v>250668.03263590977</v>
      </c>
      <c r="C14" s="7">
        <f>B14*0.031</f>
        <v>7770.7090117132029</v>
      </c>
      <c r="G14" s="2">
        <v>41122</v>
      </c>
      <c r="H14" s="7">
        <f t="shared" ref="H14" si="5">H13*0.93242</f>
        <v>159772.69049314162</v>
      </c>
      <c r="I14" s="7">
        <f>I13*1.0425</f>
        <v>8142.8632679480252</v>
      </c>
    </row>
    <row r="15" spans="1:9" x14ac:dyDescent="0.25">
      <c r="A15" s="2">
        <v>41153</v>
      </c>
      <c r="B15" s="7">
        <f>B8*1.0998</f>
        <v>180844.29175488729</v>
      </c>
      <c r="C15" s="7">
        <f>B15*0.023</f>
        <v>4159.4187103624081</v>
      </c>
      <c r="G15" s="2">
        <v>41153</v>
      </c>
      <c r="H15" s="7">
        <f t="shared" ref="H15" si="6">B15*0.77553311</f>
        <v>140250.7360104151</v>
      </c>
      <c r="I15" s="7">
        <f>H15*0.0341+2</f>
        <v>4784.5500979551543</v>
      </c>
    </row>
    <row r="16" spans="1:9" x14ac:dyDescent="0.25">
      <c r="A16" s="2">
        <v>41183</v>
      </c>
      <c r="B16" s="7">
        <f>B15*0.9834</f>
        <v>177842.27651175618</v>
      </c>
      <c r="C16" s="7">
        <f>C15*0.87452</f>
        <v>3637.494850586133</v>
      </c>
      <c r="G16" s="2">
        <v>41183</v>
      </c>
      <c r="H16" s="7">
        <f t="shared" ref="H16" si="7">H15*0.93242</f>
        <v>130772.59127083125</v>
      </c>
      <c r="I16" s="7">
        <f>I10*0.95625</f>
        <v>4982.6481124676293</v>
      </c>
    </row>
    <row r="17" spans="1:9" x14ac:dyDescent="0.25">
      <c r="A17" s="2">
        <v>41214</v>
      </c>
      <c r="B17" s="7">
        <f>B16*1.13451</f>
        <v>201763.84112535248</v>
      </c>
      <c r="C17" s="7">
        <f>B17*0.033</f>
        <v>6658.2067571366324</v>
      </c>
      <c r="G17" s="2">
        <v>41214</v>
      </c>
      <c r="H17" s="7">
        <f t="shared" ref="H17" si="8">B17*0.77553311</f>
        <v>156474.53919349052</v>
      </c>
      <c r="I17" s="7">
        <f>H17*0.043462+2</f>
        <v>6802.6964224274852</v>
      </c>
    </row>
    <row r="18" spans="1:9" x14ac:dyDescent="0.25">
      <c r="A18" s="2">
        <v>41244</v>
      </c>
      <c r="B18" s="7">
        <f>B11*1.0998</f>
        <v>189226.96721060161</v>
      </c>
      <c r="C18" s="7">
        <f>C17*0.81</f>
        <v>5393.1474732806728</v>
      </c>
      <c r="G18" s="2">
        <v>41244</v>
      </c>
      <c r="H18" s="7">
        <f t="shared" ref="H18" si="9">H17*0.93242</f>
        <v>145899.98983479443</v>
      </c>
      <c r="I18" s="7">
        <f>I9*1.0451</f>
        <v>6542.0603371806783</v>
      </c>
    </row>
    <row r="19" spans="1:9" x14ac:dyDescent="0.25">
      <c r="A19" s="2">
        <v>41275</v>
      </c>
      <c r="B19" s="7">
        <f>B16*1.33</f>
        <v>236530.22776063572</v>
      </c>
      <c r="C19" s="7">
        <f>B19*0.035</f>
        <v>8278.557971622251</v>
      </c>
      <c r="G19" s="2">
        <v>41275</v>
      </c>
      <c r="H19" s="7">
        <f>H17*1.067483</f>
        <v>167033.91052188483</v>
      </c>
      <c r="I19" s="7">
        <f>I13*0.9231</f>
        <v>7210.2418058923959</v>
      </c>
    </row>
    <row r="20" spans="1:9" x14ac:dyDescent="0.25">
      <c r="A20" s="2">
        <v>41306</v>
      </c>
      <c r="B20" s="7">
        <f>B18*1.0898</f>
        <v>206219.54886611365</v>
      </c>
      <c r="C20" s="7">
        <f>C19*0.8742</f>
        <v>7237.1153787921712</v>
      </c>
      <c r="G20" s="2">
        <v>41306</v>
      </c>
      <c r="H20" s="7">
        <f>H17*1.0345252</f>
        <v>161876.85395405363</v>
      </c>
      <c r="I20" s="7">
        <f>I14*1.033333</f>
        <v>8414.2893292585377</v>
      </c>
    </row>
    <row r="21" spans="1:9" x14ac:dyDescent="0.25">
      <c r="A21" s="2">
        <v>41334</v>
      </c>
      <c r="B21" s="7">
        <f>B10*1.231435363</f>
        <v>212537.19922247721</v>
      </c>
      <c r="C21" s="7">
        <f>C20*0.912</f>
        <v>6600.2492254584604</v>
      </c>
      <c r="G21" s="2">
        <v>41334</v>
      </c>
      <c r="H21" s="7">
        <f>H15*1.098724</f>
        <v>154096.84967230732</v>
      </c>
      <c r="I21" s="7">
        <f>I20-5</f>
        <v>8409.2893292585377</v>
      </c>
    </row>
    <row r="22" spans="1:9" x14ac:dyDescent="0.25">
      <c r="A22" s="2">
        <v>41365</v>
      </c>
      <c r="B22" s="7">
        <f>B15*1.046353</f>
        <v>189226.96721060161</v>
      </c>
      <c r="C22" s="7">
        <f>B22*0.0312</f>
        <v>5903.8813769707695</v>
      </c>
      <c r="G22" s="2">
        <v>41365</v>
      </c>
      <c r="H22" s="7">
        <f t="shared" ref="H22" si="10">H20*1.067483</f>
        <v>172800.78968943501</v>
      </c>
      <c r="I22" s="7">
        <f>I13*1.02324</f>
        <v>7992.4253336164384</v>
      </c>
    </row>
    <row r="23" spans="1:9" x14ac:dyDescent="0.25">
      <c r="A23" s="2">
        <v>41395</v>
      </c>
      <c r="B23" s="7">
        <f>B22*1.234</f>
        <v>233506.07753788237</v>
      </c>
      <c r="C23" s="7">
        <f>B23*0.035</f>
        <v>8172.7127138258838</v>
      </c>
      <c r="G23" s="2">
        <v>41395</v>
      </c>
      <c r="H23" s="7">
        <f t="shared" ref="H23" si="11">H20*1.0345252</f>
        <v>167465.68471218811</v>
      </c>
      <c r="I23" s="7">
        <f>I22*0.945345</f>
        <v>7555.5993270076315</v>
      </c>
    </row>
    <row r="24" spans="1:9" x14ac:dyDescent="0.25">
      <c r="A24" s="2">
        <v>41426</v>
      </c>
      <c r="B24" s="7">
        <f>B23*0.87742</f>
        <v>204882.90255328876</v>
      </c>
      <c r="C24" s="7">
        <f>C23*0.88131</f>
        <v>7202.6934418218898</v>
      </c>
      <c r="G24" s="2">
        <v>41426</v>
      </c>
      <c r="H24" s="7">
        <f t="shared" ref="H24" si="12">H18*1.098724</f>
        <v>160303.82043124468</v>
      </c>
      <c r="I24" s="7">
        <f>I23*0.92</f>
        <v>6951.1513808470208</v>
      </c>
    </row>
    <row r="25" spans="1:9" x14ac:dyDescent="0.25">
      <c r="A25" s="2">
        <v>41456</v>
      </c>
      <c r="B25" s="7">
        <f>B24*1.4536636</f>
        <v>297830.81770406297</v>
      </c>
      <c r="C25" s="7">
        <f>B25*0.0333333</f>
        <v>9927.6839957748434</v>
      </c>
      <c r="G25" s="2">
        <v>41456</v>
      </c>
      <c r="H25" s="7">
        <f t="shared" ref="H25" si="13">H23*1.067483</f>
        <v>178766.77151362071</v>
      </c>
      <c r="I25" s="7">
        <f>I24*1.2351</f>
        <v>8585.3670704841552</v>
      </c>
    </row>
    <row r="26" spans="1:9" x14ac:dyDescent="0.25">
      <c r="A26" s="2">
        <v>41487</v>
      </c>
      <c r="B26" s="7">
        <f>B25*0.8834</f>
        <v>263103.74435976922</v>
      </c>
      <c r="C26" s="7">
        <f>C25*0.89777777</f>
        <v>8912.8539989914279</v>
      </c>
      <c r="G26" s="2">
        <v>41487</v>
      </c>
      <c r="H26" s="7">
        <f>H25*1.089898</f>
        <v>194837.5467391522</v>
      </c>
      <c r="I26" s="7">
        <f>I25*1.0869</f>
        <v>9331.4354689092288</v>
      </c>
    </row>
    <row r="27" spans="1:9" x14ac:dyDescent="0.25">
      <c r="A27" s="2">
        <v>41518</v>
      </c>
      <c r="B27" s="7">
        <f>B26*1.13451</f>
        <v>298493.82901360176</v>
      </c>
      <c r="C27" s="7">
        <f>B27*0.03524312</f>
        <v>10519.85383518585</v>
      </c>
      <c r="G27" s="2">
        <v>41518</v>
      </c>
      <c r="H27" s="7">
        <f>H24*1.113131</f>
        <v>178439.15194045182</v>
      </c>
      <c r="I27" s="7">
        <f>I26*0.91111</f>
        <v>8501.9641700778866</v>
      </c>
    </row>
    <row r="28" spans="1:9" x14ac:dyDescent="0.25">
      <c r="A28" s="2">
        <v>41548</v>
      </c>
      <c r="B28" s="7">
        <f>B21*1.0998</f>
        <v>233748.41170488045</v>
      </c>
      <c r="C28" s="7">
        <f>C27*0.787</f>
        <v>8279.1249682912639</v>
      </c>
      <c r="G28" s="2">
        <v>41548</v>
      </c>
      <c r="H28" s="7">
        <f>H18*1.13514145</f>
        <v>165617.12601605381</v>
      </c>
      <c r="I28" s="7">
        <f>I27*0.89421</f>
        <v>7602.5413805253465</v>
      </c>
    </row>
    <row r="29" spans="1:9" x14ac:dyDescent="0.25">
      <c r="A29" s="2">
        <v>41579</v>
      </c>
      <c r="B29" s="7">
        <f>B27*0.887897</f>
        <v>265031.77529968997</v>
      </c>
      <c r="C29" s="7">
        <f>C28*1.05</f>
        <v>8693.0812167058284</v>
      </c>
      <c r="G29" s="2">
        <v>41579</v>
      </c>
      <c r="H29" s="7">
        <f>H14*1.1566262</f>
        <v>184797.27986885852</v>
      </c>
      <c r="I29" s="7">
        <f>I26*0.9731</f>
        <v>9080.4198547955693</v>
      </c>
    </row>
    <row r="30" spans="1:9" x14ac:dyDescent="0.25">
      <c r="A30" s="2">
        <v>41609</v>
      </c>
      <c r="B30" s="7">
        <f>B29*1.1341</f>
        <v>300572.53636737843</v>
      </c>
      <c r="C30" s="7">
        <f>B30*0.0334244442</f>
        <v>10046.469969863911</v>
      </c>
      <c r="G30" s="2">
        <v>41609</v>
      </c>
      <c r="H30" s="7">
        <f t="shared" ref="H30" si="14">H29*1.089898</f>
        <v>201410.18573450917</v>
      </c>
      <c r="I30" s="7">
        <f>I29*1.09323</f>
        <v>9926.98739785816</v>
      </c>
    </row>
    <row r="31" spans="1:9" x14ac:dyDescent="0.25">
      <c r="A31" s="2">
        <v>41640</v>
      </c>
      <c r="B31" s="7">
        <f>B30*0.88898</f>
        <v>267202.9733798721</v>
      </c>
      <c r="C31" s="7">
        <f>C30*0.811111</f>
        <v>8148.8023037262865</v>
      </c>
      <c r="G31" s="2">
        <v>41640</v>
      </c>
      <c r="H31" s="7">
        <f t="shared" ref="H31" si="15">H28*1.113131</f>
        <v>184353.55709937602</v>
      </c>
      <c r="I31" s="7">
        <f>I30*0.91234</f>
        <v>9056.7876825619132</v>
      </c>
    </row>
    <row r="32" spans="1:9" x14ac:dyDescent="0.25">
      <c r="A32" s="2">
        <v>41671</v>
      </c>
      <c r="B32" s="7">
        <f>B31*1.05</f>
        <v>280563.12204886571</v>
      </c>
      <c r="C32" s="7">
        <f>B32*0.033129</f>
        <v>9294.7756703568721</v>
      </c>
      <c r="G32" s="2">
        <v>41671</v>
      </c>
      <c r="H32" s="7">
        <f t="shared" ref="H32" si="16">H22*1.13514145</f>
        <v>196153.33896921034</v>
      </c>
      <c r="I32" s="7">
        <f>I31*1.0777</f>
        <v>9760.5000854969749</v>
      </c>
    </row>
    <row r="33" spans="1:9" x14ac:dyDescent="0.25">
      <c r="A33" s="2">
        <v>41699</v>
      </c>
      <c r="B33" s="7">
        <f>B32*1.00012</f>
        <v>280596.78962351155</v>
      </c>
      <c r="C33" s="7">
        <f>C32*0.99898</f>
        <v>9285.2949991731075</v>
      </c>
      <c r="G33" s="2">
        <v>41699</v>
      </c>
      <c r="H33" s="7">
        <f t="shared" ref="H33" si="17">H18*1.1566262</f>
        <v>168751.7508226569</v>
      </c>
      <c r="I33" s="7">
        <f>I32*0.9083</f>
        <v>8865.4622276569025</v>
      </c>
    </row>
    <row r="34" spans="1:9" x14ac:dyDescent="0.25">
      <c r="A34" s="2">
        <v>41730</v>
      </c>
      <c r="B34" s="7">
        <f>B33*0.9453</f>
        <v>265248.14523110545</v>
      </c>
      <c r="C34" s="7">
        <f>C32*0.89898</f>
        <v>8355.8174321374208</v>
      </c>
      <c r="G34" s="2">
        <v>41730</v>
      </c>
      <c r="H34" s="7">
        <f t="shared" ref="H34" si="18">H33*1.089898</f>
        <v>183922.19571811211</v>
      </c>
      <c r="I34" s="7">
        <f>I32*0.91111</f>
        <v>8892.8892328971488</v>
      </c>
    </row>
    <row r="35" spans="1:9" x14ac:dyDescent="0.25">
      <c r="A35" s="2">
        <v>41760</v>
      </c>
      <c r="B35" s="7">
        <f>B34*1.0898</f>
        <v>289067.42867285875</v>
      </c>
      <c r="C35" s="7">
        <f>B35*0.0311</f>
        <v>8989.9970317259067</v>
      </c>
      <c r="G35" s="2">
        <v>41760</v>
      </c>
      <c r="H35" s="7">
        <f t="shared" ref="H35" si="19">H32*1.113131</f>
        <v>218344.36236013609</v>
      </c>
      <c r="I35" s="7">
        <f>I30*1.0333333</f>
        <v>10257.886646887186</v>
      </c>
    </row>
    <row r="36" spans="1:9" x14ac:dyDescent="0.25">
      <c r="A36" s="2">
        <v>41791</v>
      </c>
      <c r="B36" s="7">
        <f>B35*1.0098977</f>
        <v>291928.53136163409</v>
      </c>
      <c r="C36" s="7">
        <f>C35*1.034452</f>
        <v>9299.7204094629269</v>
      </c>
      <c r="G36" s="2">
        <v>41791</v>
      </c>
      <c r="H36" s="7">
        <f>H31*1.2341</f>
        <v>227510.72481633993</v>
      </c>
      <c r="I36" s="7">
        <f>I29*1.21214</f>
        <v>11006.740122791902</v>
      </c>
    </row>
    <row r="37" spans="1:9" x14ac:dyDescent="0.25">
      <c r="A37" s="2">
        <v>41821</v>
      </c>
      <c r="B37" s="7">
        <f>B36*0.94898</f>
        <v>277034.33769156353</v>
      </c>
      <c r="C37" s="7">
        <f>B37*0.02898</f>
        <v>8028.4551063015106</v>
      </c>
      <c r="G37" s="2">
        <v>41821</v>
      </c>
      <c r="H37" s="7">
        <f>H32*1.3151</f>
        <v>257961.25607840851</v>
      </c>
      <c r="I37" s="7">
        <f>I36*1.18983113</f>
        <v>13096.162037917828</v>
      </c>
    </row>
    <row r="38" spans="1:9" x14ac:dyDescent="0.25">
      <c r="A38" s="2">
        <v>41852</v>
      </c>
      <c r="B38" s="7">
        <f>B37*1.09</f>
        <v>301967.42808380426</v>
      </c>
      <c r="C38" s="7">
        <f>C37*1.0898</f>
        <v>8749.4103748473863</v>
      </c>
      <c r="G38" s="2">
        <v>41852</v>
      </c>
      <c r="H38" s="7">
        <f>H27*1.29898</f>
        <v>231788.88958760811</v>
      </c>
      <c r="I38" s="7">
        <f>I30*1.13455</f>
        <v>11262.663552239976</v>
      </c>
    </row>
    <row r="39" spans="1:9" x14ac:dyDescent="0.25">
      <c r="A39" s="2">
        <v>41883</v>
      </c>
      <c r="B39" s="7">
        <f>B38*0.893898</f>
        <v>269928.08002925647</v>
      </c>
      <c r="C39" s="7">
        <f>C38*0.834245</f>
        <v>7299.1518581645578</v>
      </c>
      <c r="G39" s="2">
        <v>41883</v>
      </c>
      <c r="H39" s="7">
        <f>H28*1.33</f>
        <v>220270.77760135158</v>
      </c>
      <c r="I39" s="7">
        <f>I38*0.82313</f>
        <v>9270.6362497552909</v>
      </c>
    </row>
    <row r="40" spans="1:9" x14ac:dyDescent="0.25">
      <c r="A40" s="2">
        <v>41913</v>
      </c>
      <c r="B40" s="7">
        <f>B39*1.08</f>
        <v>291522.326431597</v>
      </c>
      <c r="C40" s="7">
        <f>C39*1.099841</f>
        <v>8027.9064788355663</v>
      </c>
      <c r="G40" s="2">
        <v>41913</v>
      </c>
      <c r="H40" s="7">
        <f t="shared" ref="H40" si="20">H35*1.2341</f>
        <v>269458.77758864395</v>
      </c>
      <c r="I40" s="7">
        <f>I37*1.0324141</f>
        <v>13520.6623438311</v>
      </c>
    </row>
    <row r="41" spans="1:9" x14ac:dyDescent="0.25">
      <c r="A41" s="2">
        <v>41944</v>
      </c>
      <c r="B41" s="7">
        <f>B40*0.9232</f>
        <v>269133.41176165035</v>
      </c>
      <c r="C41" s="7">
        <f>B41*0.027</f>
        <v>7266.6021175645592</v>
      </c>
      <c r="G41" s="2">
        <v>41944</v>
      </c>
      <c r="H41" s="7">
        <f t="shared" ref="H41" si="21">H36*1.3151</f>
        <v>299199.35420596862</v>
      </c>
      <c r="I41" s="7">
        <f>I30*1.4877774</f>
        <v>14769.147500618177</v>
      </c>
    </row>
    <row r="42" spans="1:9" x14ac:dyDescent="0.25">
      <c r="A42" s="2">
        <v>41974</v>
      </c>
      <c r="B42" s="7">
        <f>B41*1.05993</f>
        <v>285262.57712852606</v>
      </c>
      <c r="C42" s="7">
        <f>B42*0.03</f>
        <v>8557.8773138557808</v>
      </c>
      <c r="G42" s="2">
        <v>41974</v>
      </c>
      <c r="H42" s="7">
        <f t="shared" ref="H42" si="22">H31*1.29898</f>
        <v>239471.58360094746</v>
      </c>
      <c r="I42" s="7">
        <f>I39*1.082</f>
        <v>10030.828422235225</v>
      </c>
    </row>
    <row r="43" spans="1:9" x14ac:dyDescent="0.25">
      <c r="A43" s="2">
        <v>42005</v>
      </c>
      <c r="B43" s="7">
        <f>B42*1</f>
        <v>285262.57712852606</v>
      </c>
      <c r="C43" s="7">
        <f>C42*0.9889898</f>
        <v>8463.6533730547653</v>
      </c>
      <c r="G43" s="2">
        <v>42005</v>
      </c>
      <c r="H43" s="7">
        <f t="shared" ref="H43" si="23">H32*1.33</f>
        <v>260883.94082904977</v>
      </c>
      <c r="I43" s="7">
        <f>I41*0.7734</f>
        <v>11422.458676978098</v>
      </c>
    </row>
    <row r="44" spans="1:9" x14ac:dyDescent="0.25">
      <c r="A44" s="2">
        <v>42036</v>
      </c>
      <c r="B44" s="7">
        <f>B43*1.05</f>
        <v>299525.70598495239</v>
      </c>
      <c r="C44" s="7">
        <f>B44*0.031</f>
        <v>9285.2968855335239</v>
      </c>
      <c r="G44" s="2">
        <v>42036</v>
      </c>
      <c r="H44" s="7">
        <f t="shared" ref="H44" si="24">H39*1.2341</f>
        <v>271836.16663782799</v>
      </c>
      <c r="I44" s="7">
        <f>I43*1.04444</f>
        <v>11930.072740583006</v>
      </c>
    </row>
    <row r="45" spans="1:9" x14ac:dyDescent="0.25">
      <c r="A45" s="2">
        <v>42064</v>
      </c>
      <c r="B45" s="7">
        <f>B44*0.9841</f>
        <v>294763.24725979165</v>
      </c>
      <c r="C45" s="7">
        <f>B45*0.03</f>
        <v>8842.8974177937489</v>
      </c>
      <c r="G45" s="2">
        <v>42064</v>
      </c>
      <c r="H45" s="7">
        <f t="shared" ref="H45" si="25">H40*1.3151</f>
        <v>354365.23840682564</v>
      </c>
      <c r="I45" s="7">
        <f>I41*1.2299</f>
        <v>18164.574511010294</v>
      </c>
    </row>
    <row r="46" spans="1:9" x14ac:dyDescent="0.25">
      <c r="A46" s="2">
        <v>42095</v>
      </c>
      <c r="B46" s="7">
        <f>B45*1.05993</f>
        <v>312428.40866807097</v>
      </c>
      <c r="C46" s="7">
        <f>B46*0.0333333</f>
        <v>10414.269874655411</v>
      </c>
      <c r="G46" s="2">
        <v>42095</v>
      </c>
      <c r="H46" s="7">
        <f t="shared" ref="H46" si="26">H35*1.29898</f>
        <v>283624.95981856959</v>
      </c>
      <c r="I46" s="7">
        <f>I41*0.8324</f>
        <v>12293.838379514571</v>
      </c>
    </row>
    <row r="47" spans="1:9" x14ac:dyDescent="0.25">
      <c r="A47" s="2">
        <v>42125</v>
      </c>
      <c r="B47" s="7">
        <f>B46*1</f>
        <v>312428.40866807097</v>
      </c>
      <c r="C47" s="7">
        <f>C46*0.984141</f>
        <v>10249.10996871325</v>
      </c>
      <c r="G47" s="2">
        <v>42125</v>
      </c>
      <c r="H47" s="7">
        <f t="shared" ref="H47" si="27">H36*1.33</f>
        <v>302589.26400573214</v>
      </c>
      <c r="I47" s="7">
        <f>I46*1.02341</f>
        <v>12581.637135979006</v>
      </c>
    </row>
    <row r="48" spans="1:9" x14ac:dyDescent="0.25">
      <c r="A48" s="2">
        <v>42156</v>
      </c>
      <c r="B48" s="7">
        <f>B47*1.05</f>
        <v>328049.82910147455</v>
      </c>
      <c r="C48" s="7">
        <f>C47*1.0524141</f>
        <v>10786.307843524384</v>
      </c>
      <c r="G48" s="2">
        <v>42156</v>
      </c>
      <c r="H48" s="7">
        <f>H46*0.9013141</f>
        <v>255635.17539641022</v>
      </c>
      <c r="I48" s="7">
        <f>I47*0.821</f>
        <v>10329.524088638764</v>
      </c>
    </row>
    <row r="49" spans="1:9" x14ac:dyDescent="0.25">
      <c r="A49" s="2">
        <v>42186</v>
      </c>
      <c r="B49" s="7">
        <f>B48*0.898</f>
        <v>294588.74653312413</v>
      </c>
      <c r="C49" s="7">
        <f>C48*0.899999</f>
        <v>9707.6662728641022</v>
      </c>
      <c r="G49" s="2">
        <v>42186</v>
      </c>
      <c r="H49" s="7">
        <f>H46*0.874141</f>
        <v>247928.20600076421</v>
      </c>
      <c r="I49" s="7">
        <f>I48-2</f>
        <v>10327.524088638764</v>
      </c>
    </row>
    <row r="50" spans="1:9" x14ac:dyDescent="0.25">
      <c r="A50" s="2">
        <v>42217</v>
      </c>
      <c r="B50" s="7">
        <f>B44*1.05</f>
        <v>314501.99128420005</v>
      </c>
      <c r="C50" s="7">
        <f>B50*0.0313131</f>
        <v>9848.0323032812848</v>
      </c>
      <c r="G50" s="2">
        <v>42217</v>
      </c>
      <c r="H50" s="7">
        <f>H37*0.92141</f>
        <v>237688.08096320636</v>
      </c>
      <c r="I50" s="7">
        <f>I38*1.0223</f>
        <v>11513.820949454926</v>
      </c>
    </row>
    <row r="51" spans="1:9" x14ac:dyDescent="0.25">
      <c r="A51" s="2">
        <v>42248</v>
      </c>
      <c r="B51" s="7">
        <f>B47*0.875</f>
        <v>273374.85758456209</v>
      </c>
      <c r="C51" s="7">
        <f>B51*0.0244</f>
        <v>6670.3465250633153</v>
      </c>
      <c r="G51" s="2">
        <v>42248</v>
      </c>
      <c r="H51" s="7">
        <f>H41*0.85621</f>
        <v>256177.47906469239</v>
      </c>
      <c r="I51" s="7">
        <f>I42*1.0345</f>
        <v>10376.89200280234</v>
      </c>
    </row>
    <row r="52" spans="1:9" x14ac:dyDescent="0.25">
      <c r="A52" s="2">
        <v>42278</v>
      </c>
      <c r="B52" s="7">
        <f>B29*1.08484</f>
        <v>287517.07111611567</v>
      </c>
      <c r="C52" s="7">
        <f>B52*0.03</f>
        <v>8625.5121334834694</v>
      </c>
      <c r="G52" s="2">
        <v>42278</v>
      </c>
      <c r="H52" s="7">
        <f>H51*0.8512521</f>
        <v>218071.61702652543</v>
      </c>
      <c r="I52" s="7">
        <f>I35</f>
        <v>10257.886646887186</v>
      </c>
    </row>
    <row r="53" spans="1:9" x14ac:dyDescent="0.25">
      <c r="A53" s="2">
        <v>42309</v>
      </c>
      <c r="B53" s="7">
        <f>B52*0.934242</f>
        <v>268610.52355366212</v>
      </c>
      <c r="C53" s="7">
        <f>C52*0.9123141</f>
        <v>7869.1763390980514</v>
      </c>
      <c r="G53" s="2">
        <v>42309</v>
      </c>
      <c r="H53" s="7">
        <f>H52*1.084124</f>
        <v>236416.67373726488</v>
      </c>
      <c r="I53" s="7">
        <f>I38</f>
        <v>11262.663552239976</v>
      </c>
    </row>
    <row r="54" spans="1:9" x14ac:dyDescent="0.25">
      <c r="A54" s="2">
        <v>42339</v>
      </c>
      <c r="B54" s="7">
        <f>B33*1.05</f>
        <v>294626.62910468713</v>
      </c>
      <c r="C54" s="7">
        <f>B54*0.0280909</f>
        <v>8276.3271755168553</v>
      </c>
      <c r="G54" s="2">
        <v>42339</v>
      </c>
      <c r="H54" s="7">
        <f>H53*1.0914154</f>
        <v>258028.79853362645</v>
      </c>
      <c r="I54" s="7">
        <f>I44*0.911132</f>
        <v>10869.871036272876</v>
      </c>
    </row>
    <row r="55" spans="1:9" x14ac:dyDescent="0.25">
      <c r="A55" s="2">
        <v>42370</v>
      </c>
      <c r="B55" s="7">
        <f>B54*0.93425</f>
        <v>275254.92824105395</v>
      </c>
      <c r="C55" s="7">
        <f>C54*0.8989898</f>
        <v>7440.3337122524626</v>
      </c>
      <c r="G55" s="2">
        <v>42370</v>
      </c>
      <c r="H55" s="7">
        <f t="shared" ref="H55" si="28">H42*0.92141</f>
        <v>220651.51184574899</v>
      </c>
      <c r="I55" s="7">
        <f>I52*1.00243</f>
        <v>10282.81331143912</v>
      </c>
    </row>
    <row r="56" spans="1:9" x14ac:dyDescent="0.25">
      <c r="A56" s="2">
        <v>42401</v>
      </c>
      <c r="B56" s="7">
        <f t="shared" ref="B56" si="29">B55*0.898</f>
        <v>247178.92556046645</v>
      </c>
      <c r="C56" s="7">
        <f>C55*0.83121</f>
        <v>6184.4797849613697</v>
      </c>
      <c r="G56" s="2">
        <v>42401</v>
      </c>
      <c r="H56" s="7">
        <f t="shared" ref="H56" si="30">H46*0.85621</f>
        <v>242842.52684625747</v>
      </c>
      <c r="I56" s="7">
        <f>I54*0.88</f>
        <v>9565.4865119201313</v>
      </c>
    </row>
    <row r="57" spans="1:9" x14ac:dyDescent="0.25">
      <c r="A57" s="2">
        <v>42430</v>
      </c>
      <c r="B57" s="7">
        <f t="shared" ref="B57" si="31">B51*1.05</f>
        <v>287043.60046379024</v>
      </c>
      <c r="C57" s="7">
        <f>B57*0.028</f>
        <v>8037.2208129861265</v>
      </c>
      <c r="G57" s="2">
        <v>42430</v>
      </c>
      <c r="H57" s="7">
        <f t="shared" ref="H57" si="32">H56*0.8512521</f>
        <v>206720.21094718305</v>
      </c>
      <c r="I57" s="7">
        <f>I52</f>
        <v>10257.886646887186</v>
      </c>
    </row>
    <row r="58" spans="1:9" x14ac:dyDescent="0.25">
      <c r="A58" s="2">
        <v>42461</v>
      </c>
      <c r="B58" s="7">
        <f t="shared" ref="B58" si="33">B54*0.875</f>
        <v>257798.30046660124</v>
      </c>
      <c r="C58" s="7">
        <f>B58*0.026</f>
        <v>6702.7558121316324</v>
      </c>
      <c r="G58" s="2">
        <v>42461</v>
      </c>
      <c r="H58" s="7">
        <f t="shared" ref="H58" si="34">H57*1.084124</f>
        <v>224110.3419729039</v>
      </c>
      <c r="I58" s="7">
        <f>I55*1.033333</f>
        <v>10625.570327549322</v>
      </c>
    </row>
    <row r="59" spans="1:9" x14ac:dyDescent="0.25">
      <c r="A59" s="2">
        <v>42491</v>
      </c>
      <c r="B59" s="7">
        <f t="shared" ref="B59" si="35">B36*1.08484</f>
        <v>316695.74796235515</v>
      </c>
      <c r="C59" s="7">
        <f>C58*1.33</f>
        <v>8914.6652301350714</v>
      </c>
      <c r="G59" s="2">
        <v>42491</v>
      </c>
      <c r="H59" s="7">
        <f t="shared" ref="H59" si="36">H58*1.0914154</f>
        <v>244597.4785284937</v>
      </c>
      <c r="I59" s="7">
        <f>I58*1.0333333</f>
        <v>10979.755650948622</v>
      </c>
    </row>
    <row r="60" spans="1:9" x14ac:dyDescent="0.25">
      <c r="A60" s="2">
        <v>42522</v>
      </c>
      <c r="B60" s="7">
        <f t="shared" ref="B60" si="37">B59*0.934242</f>
        <v>295870.46896784659</v>
      </c>
      <c r="C60" s="7">
        <f>B60*0.02898</f>
        <v>8574.3261906881944</v>
      </c>
      <c r="G60" s="2">
        <v>42522</v>
      </c>
      <c r="H60" s="7">
        <f t="shared" ref="H60" si="38">H47*0.92141</f>
        <v>278808.77374752163</v>
      </c>
      <c r="I60" s="7">
        <f>I54*1.1241</f>
        <v>12218.822031874341</v>
      </c>
    </row>
    <row r="61" spans="1:9" x14ac:dyDescent="0.25">
      <c r="A61" s="2">
        <v>42552</v>
      </c>
      <c r="B61" s="7">
        <f t="shared" ref="B61" si="39">B40*1.05</f>
        <v>306098.44275317685</v>
      </c>
      <c r="C61" s="7">
        <f>B61*0.02898</f>
        <v>8870.7328709870653</v>
      </c>
      <c r="G61" s="2">
        <v>42552</v>
      </c>
      <c r="H61" s="7">
        <f t="shared" ref="H61" si="40">H51*0.85621</f>
        <v>219341.71934998027</v>
      </c>
      <c r="I61" s="7">
        <f>I57</f>
        <v>10257.886646887186</v>
      </c>
    </row>
    <row r="62" spans="1:9" x14ac:dyDescent="0.25">
      <c r="A62" s="2">
        <v>42583</v>
      </c>
      <c r="B62" s="7">
        <f t="shared" ref="B62" si="41">B61*0.93425</f>
        <v>285972.47014215548</v>
      </c>
      <c r="C62" s="7">
        <f t="shared" ref="C62:C73" si="42">B62*0.02898</f>
        <v>8287.4821847196654</v>
      </c>
      <c r="G62" s="2">
        <v>42583</v>
      </c>
      <c r="H62" s="7">
        <f>H61*0.9512521</f>
        <v>208649.27114927938</v>
      </c>
      <c r="I62" s="7">
        <f>I52</f>
        <v>10257.886646887186</v>
      </c>
    </row>
    <row r="63" spans="1:9" x14ac:dyDescent="0.25">
      <c r="A63" s="2">
        <v>42614</v>
      </c>
      <c r="B63" s="7">
        <f t="shared" ref="B63" si="43">B62*0.898</f>
        <v>256803.27818765561</v>
      </c>
      <c r="C63" s="7">
        <f t="shared" si="42"/>
        <v>7442.159001878259</v>
      </c>
      <c r="G63" s="2">
        <v>42614</v>
      </c>
      <c r="H63" s="7">
        <f>H57*1.231</f>
        <v>254472.57967598236</v>
      </c>
      <c r="I63" s="7">
        <f>I59</f>
        <v>10979.755650948622</v>
      </c>
    </row>
    <row r="64" spans="1:9" x14ac:dyDescent="0.25">
      <c r="A64" s="2">
        <v>42644</v>
      </c>
      <c r="B64" s="7">
        <f t="shared" ref="B64" si="44">B58*1.05</f>
        <v>270688.21548993129</v>
      </c>
      <c r="C64" s="7">
        <f t="shared" si="42"/>
        <v>7844.5444848982088</v>
      </c>
      <c r="G64" s="2">
        <v>42644</v>
      </c>
      <c r="H64" s="7">
        <f>H61*1.28987</f>
        <v>282922.30353795906</v>
      </c>
      <c r="I64" s="7">
        <f>I47*0.8234</f>
        <v>10359.720017765114</v>
      </c>
    </row>
    <row r="65" spans="1:9" x14ac:dyDescent="0.25">
      <c r="A65" s="2">
        <v>42675</v>
      </c>
      <c r="B65" s="7">
        <f t="shared" ref="B65" si="45">B61*0.875</f>
        <v>267836.13740902976</v>
      </c>
      <c r="C65" s="7">
        <f t="shared" si="42"/>
        <v>7761.8912621136824</v>
      </c>
      <c r="G65" s="2">
        <v>42675</v>
      </c>
      <c r="H65" s="7">
        <f>H62*1.189841</f>
        <v>248259.45743352969</v>
      </c>
      <c r="I65" s="7">
        <f>I56-3</f>
        <v>9562.4865119201313</v>
      </c>
    </row>
    <row r="66" spans="1:9" x14ac:dyDescent="0.25">
      <c r="A66" s="2">
        <v>42705</v>
      </c>
      <c r="B66" s="7">
        <f t="shared" ref="B66" si="46">B43*1.08484</f>
        <v>309464.25417211023</v>
      </c>
      <c r="C66" s="7">
        <f t="shared" si="42"/>
        <v>8968.2740859077549</v>
      </c>
      <c r="G66" s="2">
        <v>42705</v>
      </c>
      <c r="H66" s="7">
        <f>H65*1.090841</f>
        <v>270811.59480624896</v>
      </c>
      <c r="I66" s="7">
        <f>I64*0.883</f>
        <v>9147.6327756865958</v>
      </c>
    </row>
    <row r="67" spans="1:9" x14ac:dyDescent="0.25">
      <c r="A67" s="2">
        <v>42736</v>
      </c>
      <c r="B67" s="7">
        <f>B66*0.823242</f>
        <v>254763.97153315638</v>
      </c>
      <c r="C67" s="7">
        <f t="shared" si="42"/>
        <v>7383.0598950308713</v>
      </c>
      <c r="G67" s="2">
        <v>42736</v>
      </c>
      <c r="H67" s="7">
        <f>H66*1.0241</f>
        <v>277338.15424107958</v>
      </c>
      <c r="I67" s="7">
        <f>I66*1.0341</f>
        <v>9459.5670533375087</v>
      </c>
    </row>
    <row r="68" spans="1:9" x14ac:dyDescent="0.25">
      <c r="A68" s="2">
        <v>42767</v>
      </c>
      <c r="B68" s="7">
        <f>B62*0.8741</f>
        <v>249968.5361512581</v>
      </c>
      <c r="C68" s="7">
        <f t="shared" si="42"/>
        <v>7244.0881776634596</v>
      </c>
      <c r="G68" s="2">
        <v>42767</v>
      </c>
      <c r="H68" s="7">
        <f>H67*0.963423</f>
        <v>267193.95657340362</v>
      </c>
      <c r="I68" s="7">
        <f>I66-1</f>
        <v>9146.6327756865958</v>
      </c>
    </row>
    <row r="69" spans="1:9" x14ac:dyDescent="0.25">
      <c r="A69" s="2">
        <v>42795</v>
      </c>
      <c r="B69" s="7">
        <f>B56*1.07525</f>
        <v>265779.13970889157</v>
      </c>
      <c r="C69" s="7">
        <f t="shared" si="42"/>
        <v>7702.279468763677</v>
      </c>
      <c r="G69" s="2">
        <v>42795</v>
      </c>
      <c r="H69" s="7">
        <f>H64*0.878971</f>
        <v>248680.5000630634</v>
      </c>
      <c r="I69" s="7">
        <f>I64*0.8331</f>
        <v>8630.6827468001156</v>
      </c>
    </row>
    <row r="70" spans="1:9" x14ac:dyDescent="0.25">
      <c r="A70" s="2">
        <v>42826</v>
      </c>
      <c r="B70" s="7">
        <f>B58*1.0999</f>
        <v>283552.35068321472</v>
      </c>
      <c r="C70" s="7">
        <f t="shared" si="42"/>
        <v>8217.3471227995633</v>
      </c>
      <c r="G70" s="2">
        <v>42826</v>
      </c>
      <c r="H70" s="7">
        <f>H67*0.874254</f>
        <v>242463.99069788077</v>
      </c>
      <c r="I70" s="7">
        <f>I69*0.81212</f>
        <v>7009.1500723313093</v>
      </c>
    </row>
    <row r="71" spans="1:9" x14ac:dyDescent="0.25">
      <c r="A71" s="2">
        <v>42856</v>
      </c>
      <c r="B71" s="7">
        <f>B70*0.8484848</f>
        <v>240589.85955897733</v>
      </c>
      <c r="C71" s="7">
        <f t="shared" si="42"/>
        <v>6972.2941300191624</v>
      </c>
      <c r="G71" s="2">
        <v>42856</v>
      </c>
      <c r="H71" s="7">
        <f>H66*0.91231</f>
        <v>247064.12605768899</v>
      </c>
      <c r="I71" s="7">
        <f>I70*1.022</f>
        <v>7163.3513739225982</v>
      </c>
    </row>
    <row r="72" spans="1:9" x14ac:dyDescent="0.25">
      <c r="A72" s="2">
        <v>42887</v>
      </c>
      <c r="B72" s="7">
        <f>B66*0.8442</f>
        <v>261249.72337209544</v>
      </c>
      <c r="C72" s="7">
        <f t="shared" si="42"/>
        <v>7571.0169833233258</v>
      </c>
      <c r="G72" s="2">
        <v>42887</v>
      </c>
      <c r="H72" s="7">
        <f>H71*0.963423</f>
        <v>238027.26151887691</v>
      </c>
      <c r="I72" s="7">
        <f>I71*0.882</f>
        <v>6318.0759117997313</v>
      </c>
    </row>
    <row r="73" spans="1:9" x14ac:dyDescent="0.25">
      <c r="A73" s="2">
        <v>42917</v>
      </c>
      <c r="B73" s="7">
        <f>B72*1.077777</f>
        <v>281568.9431068069</v>
      </c>
      <c r="C73" s="7">
        <f t="shared" si="42"/>
        <v>8159.8679712352632</v>
      </c>
      <c r="G73" s="2">
        <v>42917</v>
      </c>
      <c r="H73" s="7">
        <f>H68*0.878971</f>
        <v>234855.73920328115</v>
      </c>
      <c r="I73" s="7">
        <f>I72*0.912</f>
        <v>5762.0852315613556</v>
      </c>
    </row>
    <row r="74" spans="1:9" x14ac:dyDescent="0.25">
      <c r="A74" s="2">
        <v>42948</v>
      </c>
      <c r="B74" s="7">
        <f t="shared" ref="B74" si="47">B70*0.875</f>
        <v>248108.3068478129</v>
      </c>
      <c r="C74" s="7">
        <f>C73*0.8111</f>
        <v>6618.4689114689227</v>
      </c>
      <c r="G74" s="2">
        <v>42948</v>
      </c>
      <c r="H74" s="7">
        <f>H71*0.874254</f>
        <v>215996.80046243881</v>
      </c>
      <c r="I74" s="7">
        <f>I62*0.921</f>
        <v>9447.5136017830991</v>
      </c>
    </row>
    <row r="75" spans="1:9" x14ac:dyDescent="0.25">
      <c r="A75" s="2">
        <v>42979</v>
      </c>
      <c r="B75" s="7">
        <f t="shared" ref="B75" si="48">B52*1.08484</f>
        <v>311910.01942960691</v>
      </c>
      <c r="C75" s="7">
        <f>B75*0.033</f>
        <v>10293.030641177029</v>
      </c>
      <c r="G75" s="2">
        <v>42979</v>
      </c>
      <c r="H75" s="7">
        <f>H70*0.91231</f>
        <v>221202.3233535836</v>
      </c>
      <c r="I75" s="7">
        <f>I74*1.0212</f>
        <v>9647.8008901409012</v>
      </c>
    </row>
    <row r="76" spans="1:9" x14ac:dyDescent="0.25">
      <c r="A76" s="2">
        <v>43009</v>
      </c>
      <c r="B76" s="7">
        <f>B75*0.823242</f>
        <v>256777.42821526845</v>
      </c>
      <c r="C76" s="7">
        <f>C75*0.777777</f>
        <v>8005.6824930027469</v>
      </c>
      <c r="G76" s="2">
        <v>43009</v>
      </c>
      <c r="H76" s="7">
        <f>H75*1.09</f>
        <v>241110.53245540615</v>
      </c>
      <c r="I76" s="7">
        <f>I75*1.0988</f>
        <v>10601.003618086823</v>
      </c>
    </row>
    <row r="77" spans="1:9" x14ac:dyDescent="0.25">
      <c r="A77" s="2">
        <v>43040</v>
      </c>
      <c r="B77" s="7">
        <f>B71*0.8741</f>
        <v>210299.59624050208</v>
      </c>
      <c r="C77" s="7">
        <f>C76*0.777777</f>
        <v>6226.6357123601983</v>
      </c>
      <c r="G77" s="2">
        <v>43040</v>
      </c>
      <c r="H77" s="7">
        <f>H76*1.12</f>
        <v>270043.79635005491</v>
      </c>
      <c r="I77" s="7">
        <f>I68*1.0222</f>
        <v>9349.6880233068387</v>
      </c>
    </row>
    <row r="78" spans="1:9" x14ac:dyDescent="0.25">
      <c r="A78" s="2">
        <v>43070</v>
      </c>
      <c r="B78" s="7">
        <f>B65*1.07525</f>
        <v>287990.80674905924</v>
      </c>
      <c r="C78" s="7">
        <f>B78*0.02444</f>
        <v>7038.4953169470073</v>
      </c>
      <c r="G78" s="2">
        <v>43070</v>
      </c>
      <c r="H78" s="7">
        <f>H77*1.0231</f>
        <v>276281.80804574117</v>
      </c>
      <c r="I78" s="7">
        <f>I77+2</f>
        <v>9351.6880233068387</v>
      </c>
    </row>
    <row r="79" spans="1:9" x14ac:dyDescent="0.25">
      <c r="A79" s="2">
        <v>43101</v>
      </c>
      <c r="B79" s="7">
        <f>B67*1.0999</f>
        <v>280214.89228931873</v>
      </c>
      <c r="C79" s="7">
        <f>B79*0.025995</f>
        <v>7284.1861250608408</v>
      </c>
      <c r="G79" s="2">
        <v>43101</v>
      </c>
      <c r="H79" s="7">
        <f>H78*0.93</f>
        <v>256942.0814825393</v>
      </c>
      <c r="I79" s="7">
        <f>I78*0.78</f>
        <v>7294.3166581793348</v>
      </c>
    </row>
    <row r="80" spans="1:9" x14ac:dyDescent="0.25">
      <c r="A80" s="2">
        <v>43132</v>
      </c>
      <c r="B80" s="7">
        <f>B79*0.8484848</f>
        <v>237758.07684112416</v>
      </c>
      <c r="C80" s="7">
        <f>B80*0.02444</f>
        <v>5810.8073979970741</v>
      </c>
      <c r="G80" s="2">
        <v>43132</v>
      </c>
      <c r="H80" s="7">
        <f>H79*0.91213</f>
        <v>234364.58078266858</v>
      </c>
      <c r="I80" s="7">
        <f>I79*0.81</f>
        <v>5908.3964931252613</v>
      </c>
    </row>
    <row r="81" spans="1:9" x14ac:dyDescent="0.25">
      <c r="A81" s="2">
        <v>43160</v>
      </c>
      <c r="B81" s="7">
        <f>B75*0.8442</f>
        <v>263314.43840247416</v>
      </c>
      <c r="C81" s="7">
        <f>B81*0.025995</f>
        <v>6844.858826272316</v>
      </c>
      <c r="G81" s="2">
        <v>43160</v>
      </c>
      <c r="H81" s="7">
        <f>H71</f>
        <v>247064.12605768899</v>
      </c>
      <c r="I81" s="7">
        <f>I76*1.011</f>
        <v>10717.614657885777</v>
      </c>
    </row>
    <row r="82" spans="1:9" x14ac:dyDescent="0.25">
      <c r="B82" s="7"/>
      <c r="C82" s="7"/>
      <c r="H82" s="7"/>
      <c r="I82" s="7"/>
    </row>
    <row r="83" spans="1:9" x14ac:dyDescent="0.25">
      <c r="B83" s="7"/>
      <c r="C83" s="7"/>
      <c r="H83" s="7"/>
      <c r="I83" s="7"/>
    </row>
    <row r="84" spans="1:9" x14ac:dyDescent="0.25">
      <c r="B84" s="7"/>
      <c r="C84" s="7"/>
      <c r="H84" s="7"/>
      <c r="I84" s="7"/>
    </row>
    <row r="85" spans="1:9" x14ac:dyDescent="0.25">
      <c r="B85" s="7"/>
      <c r="C85" s="7"/>
      <c r="H85" s="7"/>
      <c r="I85" s="7"/>
    </row>
    <row r="86" spans="1:9" x14ac:dyDescent="0.25">
      <c r="B86" s="7"/>
      <c r="C86" s="7"/>
      <c r="H86" s="7"/>
      <c r="I86" s="7"/>
    </row>
    <row r="87" spans="1:9" x14ac:dyDescent="0.25">
      <c r="B87" s="7"/>
      <c r="C87" s="7"/>
      <c r="H87" s="7"/>
      <c r="I87" s="7"/>
    </row>
    <row r="88" spans="1:9" x14ac:dyDescent="0.25">
      <c r="B88" s="7"/>
      <c r="C88" s="7"/>
      <c r="H88" s="7"/>
      <c r="I88" s="7"/>
    </row>
    <row r="89" spans="1:9" x14ac:dyDescent="0.25">
      <c r="B89" s="7"/>
      <c r="C89" s="7"/>
      <c r="H89" s="7"/>
      <c r="I89" s="7"/>
    </row>
    <row r="90" spans="1:9" x14ac:dyDescent="0.25">
      <c r="B90" s="7"/>
      <c r="C90" s="7"/>
      <c r="H90" s="7"/>
      <c r="I90" s="7"/>
    </row>
    <row r="91" spans="1:9" x14ac:dyDescent="0.25">
      <c r="B91" s="7"/>
      <c r="C91" s="7"/>
      <c r="H91" s="7"/>
      <c r="I91" s="7"/>
    </row>
    <row r="92" spans="1:9" x14ac:dyDescent="0.25">
      <c r="B92" s="7"/>
      <c r="C92" s="7"/>
      <c r="H92" s="7"/>
      <c r="I92" s="7"/>
    </row>
    <row r="93" spans="1:9" x14ac:dyDescent="0.25">
      <c r="B93" s="7"/>
      <c r="C93" s="7"/>
      <c r="H93" s="7"/>
      <c r="I93" s="7"/>
    </row>
    <row r="94" spans="1:9" x14ac:dyDescent="0.25">
      <c r="B94" s="7"/>
      <c r="C94" s="7"/>
      <c r="H94" s="7"/>
      <c r="I94" s="7"/>
    </row>
    <row r="95" spans="1:9" x14ac:dyDescent="0.25">
      <c r="B95" s="7"/>
      <c r="C95" s="7"/>
      <c r="H95" s="7"/>
      <c r="I95" s="7"/>
    </row>
    <row r="96" spans="1:9" x14ac:dyDescent="0.25">
      <c r="B96" s="7"/>
      <c r="C96" s="7"/>
      <c r="H96" s="7"/>
      <c r="I96" s="7"/>
    </row>
    <row r="97" spans="2:9" x14ac:dyDescent="0.25">
      <c r="B97" s="7"/>
      <c r="C97" s="7"/>
      <c r="H97" s="7"/>
      <c r="I97" s="7"/>
    </row>
    <row r="98" spans="2:9" x14ac:dyDescent="0.25">
      <c r="B98" s="7"/>
      <c r="C98" s="7"/>
      <c r="H98" s="7"/>
      <c r="I98" s="7"/>
    </row>
    <row r="99" spans="2:9" x14ac:dyDescent="0.25">
      <c r="B99" s="7"/>
      <c r="C99" s="7"/>
      <c r="H99" s="7"/>
      <c r="I99" s="7"/>
    </row>
    <row r="100" spans="2:9" x14ac:dyDescent="0.25">
      <c r="B100" s="7"/>
      <c r="C100" s="7"/>
      <c r="H100" s="7"/>
      <c r="I100" s="7"/>
    </row>
    <row r="101" spans="2:9" x14ac:dyDescent="0.25">
      <c r="B101" s="7"/>
      <c r="C101" s="7"/>
      <c r="H101" s="7"/>
      <c r="I101" s="7"/>
    </row>
    <row r="102" spans="2:9" x14ac:dyDescent="0.25">
      <c r="B102" s="7"/>
      <c r="C102" s="7"/>
      <c r="H102" s="7"/>
      <c r="I102" s="7"/>
    </row>
    <row r="103" spans="2:9" x14ac:dyDescent="0.25">
      <c r="B103" s="7"/>
      <c r="C103" s="7"/>
      <c r="H103" s="7"/>
      <c r="I103" s="7"/>
    </row>
    <row r="104" spans="2:9" x14ac:dyDescent="0.25">
      <c r="B104" s="7"/>
      <c r="C104" s="6"/>
      <c r="H104" s="7"/>
      <c r="I104" s="7"/>
    </row>
    <row r="105" spans="2:9" x14ac:dyDescent="0.25">
      <c r="B105" s="7"/>
      <c r="C105" s="6"/>
      <c r="H105" s="7"/>
      <c r="I105" s="7"/>
    </row>
    <row r="106" spans="2:9" x14ac:dyDescent="0.25">
      <c r="B106" s="7"/>
      <c r="C106" s="6"/>
      <c r="H106" s="7"/>
      <c r="I106" s="7"/>
    </row>
    <row r="107" spans="2:9" x14ac:dyDescent="0.25">
      <c r="B107" s="7"/>
      <c r="C107" s="6"/>
      <c r="H107" s="7"/>
      <c r="I107" s="7"/>
    </row>
    <row r="108" spans="2:9" x14ac:dyDescent="0.25">
      <c r="B108" s="7"/>
      <c r="C108" s="6"/>
      <c r="H108" s="7"/>
      <c r="I108" s="7"/>
    </row>
    <row r="109" spans="2:9" x14ac:dyDescent="0.25">
      <c r="B109" s="7"/>
      <c r="C109" s="6"/>
      <c r="H109" s="7"/>
      <c r="I109" s="7"/>
    </row>
    <row r="110" spans="2:9" x14ac:dyDescent="0.25">
      <c r="B110" s="7"/>
      <c r="C110" s="6"/>
      <c r="H110" s="7"/>
      <c r="I110" s="7"/>
    </row>
    <row r="111" spans="2:9" x14ac:dyDescent="0.25">
      <c r="B111" s="7"/>
      <c r="C111" s="6"/>
      <c r="H111" s="7"/>
      <c r="I111" s="7"/>
    </row>
    <row r="112" spans="2:9" x14ac:dyDescent="0.25">
      <c r="B112" s="7"/>
      <c r="C112" s="6"/>
      <c r="H112" s="7"/>
      <c r="I112" s="7"/>
    </row>
    <row r="113" spans="2:9" x14ac:dyDescent="0.25">
      <c r="B113" s="7"/>
      <c r="C113" s="6"/>
      <c r="H113" s="7"/>
      <c r="I113" s="7"/>
    </row>
    <row r="114" spans="2:9" x14ac:dyDescent="0.25">
      <c r="B114" s="7"/>
      <c r="C114" s="6"/>
      <c r="H114" s="7"/>
      <c r="I114" s="7"/>
    </row>
    <row r="115" spans="2:9" x14ac:dyDescent="0.25">
      <c r="B115" s="7"/>
      <c r="C115" s="6"/>
      <c r="H115" s="7"/>
      <c r="I115" s="7"/>
    </row>
    <row r="116" spans="2:9" x14ac:dyDescent="0.25">
      <c r="B116" s="7"/>
      <c r="C116" s="6"/>
      <c r="H116" s="7"/>
      <c r="I116" s="7"/>
    </row>
    <row r="117" spans="2:9" x14ac:dyDescent="0.25">
      <c r="B117" s="7"/>
      <c r="C117" s="6"/>
      <c r="H117" s="7"/>
      <c r="I117" s="7"/>
    </row>
    <row r="118" spans="2:9" x14ac:dyDescent="0.25">
      <c r="B118" s="7"/>
      <c r="C118" s="6"/>
      <c r="H118" s="7"/>
      <c r="I118" s="7"/>
    </row>
    <row r="119" spans="2:9" x14ac:dyDescent="0.25">
      <c r="B119" s="7"/>
      <c r="C119" s="6"/>
      <c r="H119" s="7"/>
      <c r="I119" s="7"/>
    </row>
    <row r="120" spans="2:9" x14ac:dyDescent="0.25">
      <c r="B120" s="7"/>
      <c r="C120" s="6"/>
      <c r="H120" s="7"/>
      <c r="I120" s="7"/>
    </row>
    <row r="121" spans="2:9" x14ac:dyDescent="0.25">
      <c r="B121" s="7"/>
      <c r="C121" s="6"/>
      <c r="H121" s="7"/>
      <c r="I121" s="7"/>
    </row>
    <row r="122" spans="2:9" x14ac:dyDescent="0.25">
      <c r="B122" s="7"/>
      <c r="C122" s="6"/>
      <c r="H122" s="7"/>
      <c r="I122" s="7"/>
    </row>
    <row r="123" spans="2:9" x14ac:dyDescent="0.25">
      <c r="B123" s="7"/>
      <c r="C123" s="6"/>
      <c r="H123" s="7"/>
      <c r="I123" s="7"/>
    </row>
    <row r="124" spans="2:9" x14ac:dyDescent="0.25">
      <c r="B124" s="7"/>
      <c r="C124" s="6"/>
      <c r="H124" s="7"/>
      <c r="I124" s="7"/>
    </row>
    <row r="125" spans="2:9" x14ac:dyDescent="0.25">
      <c r="B125" s="7"/>
      <c r="C125" s="6"/>
      <c r="H125" s="7"/>
      <c r="I125" s="7"/>
    </row>
    <row r="126" spans="2:9" x14ac:dyDescent="0.25">
      <c r="B126" s="7"/>
      <c r="C126" s="6"/>
      <c r="H126" s="7"/>
      <c r="I126" s="7"/>
    </row>
    <row r="127" spans="2:9" x14ac:dyDescent="0.25">
      <c r="B127" s="7"/>
      <c r="C127" s="6"/>
      <c r="H127" s="7"/>
      <c r="I127" s="7"/>
    </row>
    <row r="128" spans="2:9" x14ac:dyDescent="0.25">
      <c r="B128" s="7"/>
      <c r="C128" s="6"/>
      <c r="H128" s="7"/>
      <c r="I128" s="7"/>
    </row>
    <row r="129" spans="2:9" x14ac:dyDescent="0.25">
      <c r="B129" s="7"/>
      <c r="C129" s="6"/>
      <c r="H129" s="7"/>
      <c r="I129" s="7"/>
    </row>
    <row r="130" spans="2:9" x14ac:dyDescent="0.25">
      <c r="B130" s="7"/>
      <c r="C130" s="6"/>
      <c r="H130" s="7"/>
      <c r="I130" s="7"/>
    </row>
    <row r="131" spans="2:9" x14ac:dyDescent="0.25">
      <c r="B131" s="7"/>
      <c r="C131" s="6"/>
      <c r="H131" s="7"/>
      <c r="I131" s="7"/>
    </row>
    <row r="132" spans="2:9" x14ac:dyDescent="0.25">
      <c r="B132" s="7"/>
      <c r="C132" s="6"/>
      <c r="H132" s="7"/>
      <c r="I132" s="7"/>
    </row>
    <row r="133" spans="2:9" x14ac:dyDescent="0.25">
      <c r="B133" s="7"/>
      <c r="C133" s="6"/>
      <c r="H133" s="7"/>
      <c r="I133" s="7"/>
    </row>
    <row r="134" spans="2:9" x14ac:dyDescent="0.25">
      <c r="B134" s="7"/>
      <c r="C134" s="6"/>
      <c r="H134" s="7"/>
      <c r="I134" s="7"/>
    </row>
    <row r="135" spans="2:9" x14ac:dyDescent="0.25">
      <c r="B135" s="7"/>
      <c r="C135" s="6"/>
      <c r="H135" s="7"/>
      <c r="I135" s="7"/>
    </row>
    <row r="136" spans="2:9" x14ac:dyDescent="0.25">
      <c r="B136" s="7"/>
      <c r="C136" s="6"/>
      <c r="H136" s="7"/>
      <c r="I136" s="7"/>
    </row>
    <row r="137" spans="2:9" x14ac:dyDescent="0.25">
      <c r="B137" s="7"/>
      <c r="C137" s="6"/>
      <c r="H137" s="7"/>
      <c r="I137" s="7"/>
    </row>
    <row r="138" spans="2:9" x14ac:dyDescent="0.25">
      <c r="B138" s="7"/>
      <c r="C138" s="6"/>
      <c r="H138" s="7"/>
      <c r="I138" s="7"/>
    </row>
    <row r="139" spans="2:9" x14ac:dyDescent="0.25">
      <c r="B139" s="7"/>
      <c r="C139" s="6"/>
      <c r="H139" s="7"/>
      <c r="I139" s="7"/>
    </row>
    <row r="140" spans="2:9" x14ac:dyDescent="0.25">
      <c r="B140" s="7"/>
      <c r="C140" s="6"/>
      <c r="H140" s="7"/>
      <c r="I140" s="7"/>
    </row>
    <row r="141" spans="2:9" x14ac:dyDescent="0.25">
      <c r="B141" s="7"/>
      <c r="C141" s="6"/>
      <c r="H141" s="7"/>
      <c r="I141" s="7"/>
    </row>
    <row r="142" spans="2:9" x14ac:dyDescent="0.25">
      <c r="B142" s="7"/>
      <c r="C142" s="6"/>
      <c r="H142" s="7"/>
      <c r="I142" s="7"/>
    </row>
    <row r="143" spans="2:9" x14ac:dyDescent="0.25">
      <c r="B143" s="7"/>
      <c r="C143" s="6"/>
      <c r="H143" s="7"/>
      <c r="I143" s="7"/>
    </row>
    <row r="144" spans="2:9" x14ac:dyDescent="0.25">
      <c r="B144" s="7"/>
      <c r="C144" s="6"/>
      <c r="H144" s="7"/>
      <c r="I144" s="7"/>
    </row>
    <row r="145" spans="2:9" x14ac:dyDescent="0.25">
      <c r="B145" s="7"/>
      <c r="C145" s="6"/>
      <c r="H145" s="7"/>
      <c r="I145" s="7"/>
    </row>
    <row r="146" spans="2:9" x14ac:dyDescent="0.25">
      <c r="B146" s="7"/>
      <c r="C146" s="6"/>
      <c r="H146" s="7"/>
      <c r="I146" s="7"/>
    </row>
    <row r="147" spans="2:9" x14ac:dyDescent="0.25">
      <c r="B147" s="6"/>
      <c r="C147" s="6"/>
      <c r="H147" s="7"/>
      <c r="I147" s="7"/>
    </row>
    <row r="148" spans="2:9" x14ac:dyDescent="0.25">
      <c r="B148" s="6"/>
      <c r="C148" s="6"/>
      <c r="H148" s="7"/>
      <c r="I148" s="7"/>
    </row>
    <row r="149" spans="2:9" x14ac:dyDescent="0.25">
      <c r="H149" s="7"/>
      <c r="I149" s="7"/>
    </row>
    <row r="150" spans="2:9" x14ac:dyDescent="0.25">
      <c r="H150" s="7"/>
      <c r="I150" s="7"/>
    </row>
    <row r="151" spans="2:9" x14ac:dyDescent="0.25">
      <c r="H151" s="7"/>
      <c r="I151" s="7"/>
    </row>
    <row r="152" spans="2:9" x14ac:dyDescent="0.25">
      <c r="H152" s="7"/>
      <c r="I152" s="7"/>
    </row>
    <row r="153" spans="2:9" x14ac:dyDescent="0.25">
      <c r="H153" s="7"/>
      <c r="I153" s="7"/>
    </row>
    <row r="154" spans="2:9" x14ac:dyDescent="0.25">
      <c r="H154" s="7"/>
      <c r="I154" s="7"/>
    </row>
    <row r="155" spans="2:9" x14ac:dyDescent="0.25">
      <c r="H155" s="7"/>
      <c r="I155" s="7"/>
    </row>
    <row r="156" spans="2:9" x14ac:dyDescent="0.25">
      <c r="H156" s="7"/>
      <c r="I156" s="7"/>
    </row>
    <row r="157" spans="2:9" x14ac:dyDescent="0.25">
      <c r="H157" s="7"/>
      <c r="I157" s="7"/>
    </row>
    <row r="158" spans="2:9" x14ac:dyDescent="0.25">
      <c r="H158" s="7"/>
      <c r="I158" s="7"/>
    </row>
    <row r="159" spans="2:9" x14ac:dyDescent="0.25">
      <c r="H159" s="7"/>
      <c r="I159" s="7"/>
    </row>
    <row r="160" spans="2:9" x14ac:dyDescent="0.25">
      <c r="H160" s="7"/>
      <c r="I160" s="7"/>
    </row>
    <row r="161" spans="8:9" x14ac:dyDescent="0.25">
      <c r="H161" s="7"/>
      <c r="I161" s="7"/>
    </row>
    <row r="162" spans="8:9" x14ac:dyDescent="0.25">
      <c r="H162" s="7"/>
      <c r="I162" s="7"/>
    </row>
    <row r="163" spans="8:9" x14ac:dyDescent="0.25">
      <c r="H163" s="7"/>
      <c r="I163" s="7"/>
    </row>
    <row r="164" spans="8:9" x14ac:dyDescent="0.25">
      <c r="H164" s="7"/>
      <c r="I164" s="7"/>
    </row>
    <row r="165" spans="8:9" x14ac:dyDescent="0.25">
      <c r="H165" s="7"/>
      <c r="I165" s="7"/>
    </row>
    <row r="166" spans="8:9" x14ac:dyDescent="0.25">
      <c r="H166" s="7"/>
      <c r="I166" s="7"/>
    </row>
    <row r="167" spans="8:9" x14ac:dyDescent="0.25">
      <c r="H167" s="7"/>
      <c r="I167" s="7"/>
    </row>
    <row r="168" spans="8:9" x14ac:dyDescent="0.25">
      <c r="H168" s="7"/>
      <c r="I168" s="7"/>
    </row>
    <row r="169" spans="8:9" x14ac:dyDescent="0.25">
      <c r="H169" s="7"/>
      <c r="I169" s="7"/>
    </row>
    <row r="170" spans="8:9" x14ac:dyDescent="0.25">
      <c r="H170" s="7"/>
      <c r="I170" s="7"/>
    </row>
    <row r="171" spans="8:9" x14ac:dyDescent="0.25">
      <c r="H171" s="7"/>
      <c r="I171" s="7"/>
    </row>
    <row r="172" spans="8:9" x14ac:dyDescent="0.25">
      <c r="H172" s="7"/>
      <c r="I172" s="7"/>
    </row>
    <row r="173" spans="8:9" x14ac:dyDescent="0.25">
      <c r="H173" s="7"/>
      <c r="I173" s="7"/>
    </row>
    <row r="174" spans="8:9" x14ac:dyDescent="0.25">
      <c r="H174" s="7"/>
      <c r="I174" s="7"/>
    </row>
    <row r="175" spans="8:9" x14ac:dyDescent="0.25">
      <c r="H175" s="7"/>
      <c r="I175" s="7"/>
    </row>
    <row r="176" spans="8:9" x14ac:dyDescent="0.25">
      <c r="H176" s="7"/>
      <c r="I176" s="7"/>
    </row>
    <row r="177" spans="8:9" x14ac:dyDescent="0.25">
      <c r="H177" s="7"/>
      <c r="I177" s="7"/>
    </row>
    <row r="178" spans="8:9" x14ac:dyDescent="0.25">
      <c r="H178" s="7"/>
      <c r="I178" s="7"/>
    </row>
    <row r="179" spans="8:9" x14ac:dyDescent="0.25">
      <c r="H179" s="7"/>
      <c r="I179" s="7"/>
    </row>
    <row r="180" spans="8:9" x14ac:dyDescent="0.25">
      <c r="H180" s="7"/>
      <c r="I180" s="7"/>
    </row>
    <row r="181" spans="8:9" x14ac:dyDescent="0.25">
      <c r="H181" s="7"/>
      <c r="I181" s="7"/>
    </row>
    <row r="182" spans="8:9" x14ac:dyDescent="0.25">
      <c r="H182" s="7"/>
      <c r="I182" s="7"/>
    </row>
    <row r="183" spans="8:9" x14ac:dyDescent="0.25">
      <c r="H183" s="7"/>
      <c r="I183" s="7"/>
    </row>
    <row r="184" spans="8:9" x14ac:dyDescent="0.25">
      <c r="H184" s="7"/>
      <c r="I184" s="7"/>
    </row>
    <row r="185" spans="8:9" x14ac:dyDescent="0.25">
      <c r="H185" s="7"/>
      <c r="I185" s="7"/>
    </row>
    <row r="186" spans="8:9" x14ac:dyDescent="0.25">
      <c r="H186" s="7"/>
      <c r="I186" s="7"/>
    </row>
    <row r="187" spans="8:9" x14ac:dyDescent="0.25">
      <c r="H187" s="7"/>
      <c r="I187" s="7"/>
    </row>
    <row r="188" spans="8:9" x14ac:dyDescent="0.25">
      <c r="H188" s="7"/>
      <c r="I188" s="7"/>
    </row>
    <row r="189" spans="8:9" x14ac:dyDescent="0.25">
      <c r="H189" s="7"/>
      <c r="I189" s="7"/>
    </row>
    <row r="190" spans="8:9" x14ac:dyDescent="0.25">
      <c r="H190" s="7"/>
      <c r="I190" s="7"/>
    </row>
    <row r="191" spans="8:9" x14ac:dyDescent="0.25">
      <c r="H191" s="7"/>
      <c r="I191" s="7"/>
    </row>
    <row r="192" spans="8:9" x14ac:dyDescent="0.25">
      <c r="H192" s="7"/>
      <c r="I192" s="7"/>
    </row>
    <row r="193" spans="8:9" x14ac:dyDescent="0.25">
      <c r="H193" s="7"/>
      <c r="I193" s="7"/>
    </row>
    <row r="194" spans="8:9" x14ac:dyDescent="0.25">
      <c r="H194" s="7"/>
      <c r="I194" s="7"/>
    </row>
    <row r="195" spans="8:9" x14ac:dyDescent="0.25">
      <c r="H195" s="7"/>
      <c r="I195" s="7"/>
    </row>
    <row r="196" spans="8:9" x14ac:dyDescent="0.25">
      <c r="H196" s="7"/>
      <c r="I196" s="7"/>
    </row>
    <row r="197" spans="8:9" x14ac:dyDescent="0.25">
      <c r="H197" s="7"/>
      <c r="I197" s="7"/>
    </row>
    <row r="198" spans="8:9" x14ac:dyDescent="0.25">
      <c r="H198" s="7"/>
      <c r="I198" s="7"/>
    </row>
    <row r="199" spans="8:9" x14ac:dyDescent="0.25">
      <c r="H199" s="7"/>
      <c r="I199" s="7"/>
    </row>
    <row r="200" spans="8:9" x14ac:dyDescent="0.25">
      <c r="H200" s="7"/>
      <c r="I200" s="7"/>
    </row>
    <row r="201" spans="8:9" x14ac:dyDescent="0.25">
      <c r="H201" s="7"/>
      <c r="I201" s="7"/>
    </row>
    <row r="202" spans="8:9" x14ac:dyDescent="0.25">
      <c r="H202" s="7"/>
      <c r="I202" s="7"/>
    </row>
    <row r="203" spans="8:9" x14ac:dyDescent="0.25">
      <c r="H203" s="7"/>
      <c r="I203" s="7"/>
    </row>
    <row r="204" spans="8:9" x14ac:dyDescent="0.25">
      <c r="H204" s="7"/>
      <c r="I204" s="7"/>
    </row>
    <row r="205" spans="8:9" x14ac:dyDescent="0.25">
      <c r="H205" s="7"/>
      <c r="I205" s="7"/>
    </row>
    <row r="206" spans="8:9" x14ac:dyDescent="0.25">
      <c r="H206" s="7"/>
      <c r="I206" s="7"/>
    </row>
    <row r="207" spans="8:9" x14ac:dyDescent="0.25">
      <c r="H207" s="7"/>
      <c r="I207" s="7"/>
    </row>
    <row r="208" spans="8:9" x14ac:dyDescent="0.25">
      <c r="H208" s="7"/>
      <c r="I208" s="7"/>
    </row>
    <row r="209" spans="8:9" x14ac:dyDescent="0.25">
      <c r="H209" s="7"/>
      <c r="I209" s="7"/>
    </row>
    <row r="210" spans="8:9" x14ac:dyDescent="0.25">
      <c r="H210" s="7"/>
      <c r="I210" s="7"/>
    </row>
    <row r="211" spans="8:9" x14ac:dyDescent="0.25">
      <c r="H211" s="7"/>
      <c r="I211" s="7"/>
    </row>
    <row r="212" spans="8:9" x14ac:dyDescent="0.25">
      <c r="H212" s="7"/>
      <c r="I212" s="7"/>
    </row>
    <row r="213" spans="8:9" x14ac:dyDescent="0.25">
      <c r="H213" s="7"/>
      <c r="I213" s="7"/>
    </row>
    <row r="214" spans="8:9" x14ac:dyDescent="0.25">
      <c r="H214" s="7"/>
      <c r="I214" s="7"/>
    </row>
    <row r="215" spans="8:9" x14ac:dyDescent="0.25">
      <c r="H215" s="7"/>
      <c r="I215" s="7"/>
    </row>
    <row r="216" spans="8:9" x14ac:dyDescent="0.25">
      <c r="H216" s="7"/>
      <c r="I216" s="7"/>
    </row>
    <row r="217" spans="8:9" x14ac:dyDescent="0.25">
      <c r="H217" s="7"/>
      <c r="I217" s="7"/>
    </row>
    <row r="218" spans="8:9" x14ac:dyDescent="0.25">
      <c r="H218" s="7"/>
      <c r="I218" s="7"/>
    </row>
    <row r="219" spans="8:9" x14ac:dyDescent="0.25">
      <c r="H219" s="7"/>
    </row>
    <row r="220" spans="8:9" x14ac:dyDescent="0.25">
      <c r="H220" s="7"/>
    </row>
    <row r="221" spans="8:9" x14ac:dyDescent="0.25">
      <c r="H221" s="7"/>
    </row>
    <row r="222" spans="8:9" x14ac:dyDescent="0.25">
      <c r="H222" s="7"/>
    </row>
    <row r="223" spans="8:9" x14ac:dyDescent="0.25">
      <c r="H223" s="7"/>
    </row>
    <row r="224" spans="8:9" x14ac:dyDescent="0.25">
      <c r="H224" s="7"/>
    </row>
    <row r="225" spans="8:8" x14ac:dyDescent="0.25">
      <c r="H225" s="7"/>
    </row>
    <row r="226" spans="8:8" x14ac:dyDescent="0.25">
      <c r="H226" s="7"/>
    </row>
    <row r="227" spans="8:8" x14ac:dyDescent="0.25">
      <c r="H227" s="7"/>
    </row>
    <row r="228" spans="8:8" x14ac:dyDescent="0.25">
      <c r="H228" s="7"/>
    </row>
    <row r="229" spans="8:8" x14ac:dyDescent="0.25">
      <c r="H229" s="7"/>
    </row>
    <row r="230" spans="8:8" x14ac:dyDescent="0.25">
      <c r="H230" s="7"/>
    </row>
    <row r="231" spans="8:8" x14ac:dyDescent="0.25">
      <c r="H231" s="7"/>
    </row>
    <row r="232" spans="8:8" x14ac:dyDescent="0.25">
      <c r="H232" s="7"/>
    </row>
    <row r="233" spans="8:8" x14ac:dyDescent="0.25">
      <c r="H233" s="7"/>
    </row>
    <row r="234" spans="8:8" x14ac:dyDescent="0.25">
      <c r="H234" s="7"/>
    </row>
    <row r="235" spans="8:8" x14ac:dyDescent="0.25">
      <c r="H235" s="7"/>
    </row>
    <row r="236" spans="8:8" x14ac:dyDescent="0.25">
      <c r="H236" s="7"/>
    </row>
    <row r="237" spans="8:8" x14ac:dyDescent="0.25">
      <c r="H237" s="7"/>
    </row>
    <row r="238" spans="8:8" x14ac:dyDescent="0.25">
      <c r="H238" s="7"/>
    </row>
    <row r="239" spans="8:8" x14ac:dyDescent="0.25">
      <c r="H239" s="7"/>
    </row>
    <row r="240" spans="8:8" x14ac:dyDescent="0.25">
      <c r="H240" s="7"/>
    </row>
    <row r="241" spans="8:8" x14ac:dyDescent="0.25">
      <c r="H241" s="7"/>
    </row>
    <row r="242" spans="8:8" x14ac:dyDescent="0.25">
      <c r="H242" s="7"/>
    </row>
    <row r="243" spans="8:8" x14ac:dyDescent="0.25">
      <c r="H243" s="7"/>
    </row>
    <row r="244" spans="8:8" x14ac:dyDescent="0.25">
      <c r="H244" s="7"/>
    </row>
    <row r="245" spans="8:8" x14ac:dyDescent="0.25">
      <c r="H245" s="7"/>
    </row>
    <row r="246" spans="8:8" x14ac:dyDescent="0.25">
      <c r="H246" s="7"/>
    </row>
    <row r="247" spans="8:8" x14ac:dyDescent="0.25">
      <c r="H247" s="7"/>
    </row>
    <row r="248" spans="8:8" x14ac:dyDescent="0.25">
      <c r="H248" s="7"/>
    </row>
    <row r="249" spans="8:8" x14ac:dyDescent="0.25">
      <c r="H249" s="7"/>
    </row>
    <row r="250" spans="8:8" x14ac:dyDescent="0.25">
      <c r="H250" s="7"/>
    </row>
    <row r="251" spans="8:8" x14ac:dyDescent="0.25">
      <c r="H251" s="7"/>
    </row>
    <row r="252" spans="8:8" x14ac:dyDescent="0.25">
      <c r="H252" s="7"/>
    </row>
    <row r="253" spans="8:8" x14ac:dyDescent="0.25">
      <c r="H253" s="7"/>
    </row>
    <row r="254" spans="8:8" x14ac:dyDescent="0.25">
      <c r="H254" s="7"/>
    </row>
    <row r="255" spans="8:8" x14ac:dyDescent="0.25">
      <c r="H255" s="7"/>
    </row>
    <row r="256" spans="8:8" x14ac:dyDescent="0.25">
      <c r="H256" s="7"/>
    </row>
    <row r="257" spans="8:8" x14ac:dyDescent="0.25">
      <c r="H257" s="7"/>
    </row>
    <row r="258" spans="8:8" x14ac:dyDescent="0.25">
      <c r="H258" s="7"/>
    </row>
    <row r="259" spans="8:8" x14ac:dyDescent="0.25">
      <c r="H259" s="7"/>
    </row>
    <row r="260" spans="8:8" x14ac:dyDescent="0.25">
      <c r="H260" s="7"/>
    </row>
    <row r="261" spans="8:8" x14ac:dyDescent="0.25">
      <c r="H261" s="7"/>
    </row>
    <row r="262" spans="8:8" x14ac:dyDescent="0.25">
      <c r="H262" s="7"/>
    </row>
    <row r="263" spans="8:8" x14ac:dyDescent="0.25">
      <c r="H263" s="7"/>
    </row>
    <row r="264" spans="8:8" x14ac:dyDescent="0.25">
      <c r="H264" s="7"/>
    </row>
    <row r="265" spans="8:8" x14ac:dyDescent="0.25">
      <c r="H265" s="7"/>
    </row>
    <row r="266" spans="8:8" x14ac:dyDescent="0.25">
      <c r="H266" s="7"/>
    </row>
    <row r="267" spans="8:8" x14ac:dyDescent="0.25">
      <c r="H267" s="7"/>
    </row>
    <row r="268" spans="8:8" x14ac:dyDescent="0.25">
      <c r="H268" s="7"/>
    </row>
    <row r="269" spans="8:8" x14ac:dyDescent="0.25">
      <c r="H269" s="7"/>
    </row>
    <row r="270" spans="8:8" x14ac:dyDescent="0.25">
      <c r="H270" s="7"/>
    </row>
    <row r="271" spans="8:8" x14ac:dyDescent="0.25">
      <c r="H271" s="7"/>
    </row>
    <row r="272" spans="8:8" x14ac:dyDescent="0.25">
      <c r="H272" s="7"/>
    </row>
    <row r="273" spans="8:8" x14ac:dyDescent="0.25">
      <c r="H273" s="7"/>
    </row>
    <row r="274" spans="8:8" x14ac:dyDescent="0.25">
      <c r="H274" s="7"/>
    </row>
    <row r="275" spans="8:8" x14ac:dyDescent="0.25">
      <c r="H275" s="7"/>
    </row>
    <row r="276" spans="8:8" x14ac:dyDescent="0.25">
      <c r="H276" s="7"/>
    </row>
    <row r="277" spans="8:8" x14ac:dyDescent="0.25">
      <c r="H277" s="7"/>
    </row>
    <row r="278" spans="8:8" x14ac:dyDescent="0.25">
      <c r="H278" s="7"/>
    </row>
    <row r="279" spans="8:8" x14ac:dyDescent="0.25">
      <c r="H279" s="7"/>
    </row>
    <row r="280" spans="8:8" x14ac:dyDescent="0.25">
      <c r="H280" s="7"/>
    </row>
    <row r="281" spans="8:8" x14ac:dyDescent="0.25">
      <c r="H281" s="7"/>
    </row>
    <row r="282" spans="8:8" x14ac:dyDescent="0.25">
      <c r="H282" s="7"/>
    </row>
    <row r="283" spans="8:8" x14ac:dyDescent="0.25">
      <c r="H283" s="7"/>
    </row>
    <row r="284" spans="8:8" x14ac:dyDescent="0.25">
      <c r="H284" s="7"/>
    </row>
    <row r="285" spans="8:8" x14ac:dyDescent="0.25">
      <c r="H285" s="7"/>
    </row>
    <row r="286" spans="8:8" x14ac:dyDescent="0.25">
      <c r="H286" s="7"/>
    </row>
    <row r="287" spans="8:8" x14ac:dyDescent="0.25">
      <c r="H287" s="7"/>
    </row>
    <row r="288" spans="8:8" x14ac:dyDescent="0.25">
      <c r="H288" s="7"/>
    </row>
    <row r="289" spans="8:8" x14ac:dyDescent="0.25">
      <c r="H289" s="7"/>
    </row>
    <row r="290" spans="8:8" x14ac:dyDescent="0.25">
      <c r="H290" s="7"/>
    </row>
    <row r="291" spans="8:8" x14ac:dyDescent="0.25">
      <c r="H291" s="7"/>
    </row>
    <row r="292" spans="8:8" x14ac:dyDescent="0.25">
      <c r="H292" s="7"/>
    </row>
    <row r="293" spans="8:8" x14ac:dyDescent="0.25">
      <c r="H293" s="7"/>
    </row>
    <row r="294" spans="8:8" x14ac:dyDescent="0.25">
      <c r="H294" s="7"/>
    </row>
    <row r="295" spans="8:8" x14ac:dyDescent="0.25">
      <c r="H295" s="7"/>
    </row>
    <row r="296" spans="8:8" x14ac:dyDescent="0.25">
      <c r="H296" s="7"/>
    </row>
    <row r="297" spans="8:8" x14ac:dyDescent="0.25">
      <c r="H297" s="7"/>
    </row>
    <row r="298" spans="8:8" x14ac:dyDescent="0.25">
      <c r="H298" s="7"/>
    </row>
    <row r="299" spans="8:8" x14ac:dyDescent="0.25">
      <c r="H299" s="7"/>
    </row>
    <row r="300" spans="8:8" x14ac:dyDescent="0.25">
      <c r="H300" s="7"/>
    </row>
    <row r="301" spans="8:8" x14ac:dyDescent="0.25">
      <c r="H301" s="7"/>
    </row>
    <row r="302" spans="8:8" x14ac:dyDescent="0.25">
      <c r="H302" s="7"/>
    </row>
    <row r="303" spans="8:8" x14ac:dyDescent="0.25">
      <c r="H303" s="7"/>
    </row>
    <row r="304" spans="8:8" x14ac:dyDescent="0.25">
      <c r="H304" s="7"/>
    </row>
    <row r="305" spans="8:8" x14ac:dyDescent="0.25">
      <c r="H305" s="7"/>
    </row>
    <row r="306" spans="8:8" x14ac:dyDescent="0.25">
      <c r="H306" s="7"/>
    </row>
    <row r="307" spans="8:8" x14ac:dyDescent="0.25">
      <c r="H307" s="7"/>
    </row>
    <row r="308" spans="8:8" x14ac:dyDescent="0.25">
      <c r="H308" s="7"/>
    </row>
    <row r="309" spans="8:8" x14ac:dyDescent="0.25">
      <c r="H309" s="7"/>
    </row>
    <row r="310" spans="8:8" x14ac:dyDescent="0.25">
      <c r="H310" s="7"/>
    </row>
    <row r="311" spans="8:8" x14ac:dyDescent="0.25">
      <c r="H311" s="7"/>
    </row>
    <row r="312" spans="8:8" x14ac:dyDescent="0.25">
      <c r="H312" s="7"/>
    </row>
    <row r="313" spans="8:8" x14ac:dyDescent="0.25">
      <c r="H313" s="7"/>
    </row>
    <row r="314" spans="8:8" x14ac:dyDescent="0.25">
      <c r="H314" s="7"/>
    </row>
    <row r="315" spans="8:8" x14ac:dyDescent="0.25">
      <c r="H315" s="7"/>
    </row>
    <row r="316" spans="8:8" x14ac:dyDescent="0.25">
      <c r="H316" s="7"/>
    </row>
    <row r="317" spans="8:8" x14ac:dyDescent="0.25">
      <c r="H317" s="7"/>
    </row>
    <row r="318" spans="8:8" x14ac:dyDescent="0.25">
      <c r="H318" s="7"/>
    </row>
    <row r="319" spans="8:8" x14ac:dyDescent="0.25">
      <c r="H319" s="7"/>
    </row>
    <row r="320" spans="8:8" x14ac:dyDescent="0.25">
      <c r="H320" s="7"/>
    </row>
    <row r="321" spans="8:8" x14ac:dyDescent="0.25">
      <c r="H321" s="7"/>
    </row>
    <row r="322" spans="8:8" x14ac:dyDescent="0.25">
      <c r="H322" s="7"/>
    </row>
    <row r="323" spans="8:8" x14ac:dyDescent="0.25">
      <c r="H323" s="7"/>
    </row>
    <row r="324" spans="8:8" x14ac:dyDescent="0.25">
      <c r="H324" s="7"/>
    </row>
    <row r="325" spans="8:8" x14ac:dyDescent="0.25">
      <c r="H325" s="7"/>
    </row>
    <row r="326" spans="8:8" x14ac:dyDescent="0.25">
      <c r="H326" s="7"/>
    </row>
    <row r="327" spans="8:8" x14ac:dyDescent="0.25">
      <c r="H327" s="7"/>
    </row>
    <row r="328" spans="8:8" x14ac:dyDescent="0.25">
      <c r="H328" s="7"/>
    </row>
    <row r="329" spans="8:8" x14ac:dyDescent="0.25">
      <c r="H329" s="7"/>
    </row>
    <row r="330" spans="8:8" x14ac:dyDescent="0.25">
      <c r="H330" s="7"/>
    </row>
    <row r="331" spans="8:8" x14ac:dyDescent="0.25">
      <c r="H331" s="7"/>
    </row>
    <row r="332" spans="8:8" x14ac:dyDescent="0.25">
      <c r="H332" s="7"/>
    </row>
    <row r="333" spans="8:8" x14ac:dyDescent="0.25">
      <c r="H333" s="7"/>
    </row>
    <row r="334" spans="8:8" x14ac:dyDescent="0.25">
      <c r="H334" s="7"/>
    </row>
    <row r="335" spans="8:8" x14ac:dyDescent="0.25">
      <c r="H335" s="7"/>
    </row>
    <row r="336" spans="8:8" x14ac:dyDescent="0.25">
      <c r="H336" s="7"/>
    </row>
    <row r="337" spans="8:8" x14ac:dyDescent="0.25">
      <c r="H337" s="7"/>
    </row>
    <row r="338" spans="8:8" x14ac:dyDescent="0.25">
      <c r="H338" s="7"/>
    </row>
    <row r="339" spans="8:8" x14ac:dyDescent="0.25">
      <c r="H339" s="7"/>
    </row>
    <row r="340" spans="8:8" x14ac:dyDescent="0.25">
      <c r="H340" s="7"/>
    </row>
    <row r="341" spans="8:8" x14ac:dyDescent="0.25">
      <c r="H341" s="7"/>
    </row>
    <row r="342" spans="8:8" x14ac:dyDescent="0.25">
      <c r="H342" s="7"/>
    </row>
    <row r="343" spans="8:8" x14ac:dyDescent="0.25">
      <c r="H343" s="7"/>
    </row>
    <row r="344" spans="8:8" x14ac:dyDescent="0.25">
      <c r="H344" s="7"/>
    </row>
    <row r="345" spans="8:8" x14ac:dyDescent="0.25">
      <c r="H345" s="7"/>
    </row>
  </sheetData>
  <sheetProtection insertColumns="0" insertRows="0" deleteColumns="0" deleteRows="0" selectLockedCells="1" sort="0" selectUnlockedCells="1"/>
  <pageMargins left="0.511811024" right="0.511811024" top="0.78740157499999996" bottom="0.78740157499999996" header="0.31496062000000002" footer="0.31496062000000002"/>
  <ignoredErrors>
    <ignoredError sqref="H9:H15 H8 H16:H17 C79 C10 C8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9651-0059-4135-A33F-BB3C657828DF}">
  <dimension ref="A1:C75"/>
  <sheetViews>
    <sheetView workbookViewId="0">
      <selection activeCell="A17" sqref="A17:A19"/>
    </sheetView>
  </sheetViews>
  <sheetFormatPr defaultRowHeight="15" x14ac:dyDescent="0.25"/>
  <sheetData>
    <row r="1" spans="1:3" ht="15.75" thickBot="1" x14ac:dyDescent="0.3">
      <c r="A1" s="2">
        <v>40909</v>
      </c>
      <c r="B1" s="8">
        <v>183134</v>
      </c>
      <c r="C1" s="7">
        <f>B1*0.023</f>
        <v>4212.0820000000003</v>
      </c>
    </row>
    <row r="2" spans="1:3" x14ac:dyDescent="0.25">
      <c r="A2" s="2">
        <v>40940</v>
      </c>
      <c r="B2" s="7">
        <f>B1*0.897887878</f>
        <v>164433.79864965202</v>
      </c>
      <c r="C2" s="7">
        <f>C1*0.898</f>
        <v>3782.4496360000003</v>
      </c>
    </row>
    <row r="3" spans="1:3" x14ac:dyDescent="0.25">
      <c r="A3" s="2">
        <v>40969</v>
      </c>
      <c r="B3" s="7">
        <f>B2*1.1124324</f>
        <v>182921.48527294918</v>
      </c>
      <c r="C3" s="7">
        <f>B3*0.023</f>
        <v>4207.194161277831</v>
      </c>
    </row>
    <row r="4" spans="1:3" x14ac:dyDescent="0.25">
      <c r="A4" s="2">
        <v>41000</v>
      </c>
      <c r="B4" s="7">
        <f>B3*0.9435363</f>
        <v>172593.06140494297</v>
      </c>
      <c r="C4" s="7">
        <f>C3*0.8787</f>
        <v>3696.8615095148302</v>
      </c>
    </row>
    <row r="5" spans="1:3" x14ac:dyDescent="0.25">
      <c r="A5" s="2">
        <v>41030</v>
      </c>
      <c r="B5" s="7">
        <f>B2*1.046353</f>
        <v>172055.79851845934</v>
      </c>
      <c r="C5" s="7">
        <f>B5*0.023</f>
        <v>3957.2833659245648</v>
      </c>
    </row>
    <row r="6" spans="1:3" x14ac:dyDescent="0.25">
      <c r="A6" s="2">
        <v>41061</v>
      </c>
      <c r="B6" s="7">
        <f>B5*1.4536636</f>
        <v>250111.25147521828</v>
      </c>
      <c r="C6" s="7">
        <f>B6*0.03</f>
        <v>7503.3375442565484</v>
      </c>
    </row>
    <row r="7" spans="1:3" x14ac:dyDescent="0.25">
      <c r="A7" s="2">
        <v>41091</v>
      </c>
      <c r="B7" s="7">
        <f>B6*0.8834</f>
        <v>220948.2795532078</v>
      </c>
      <c r="C7" s="7">
        <f>C6*0.8424</f>
        <v>6320.8115472817162</v>
      </c>
    </row>
    <row r="8" spans="1:3" x14ac:dyDescent="0.25">
      <c r="A8" s="2">
        <v>41122</v>
      </c>
      <c r="B8" s="7">
        <f>B7*1.13451</f>
        <v>250668.03263590977</v>
      </c>
      <c r="C8" s="7">
        <f>B8*0.031</f>
        <v>7770.7090117132029</v>
      </c>
    </row>
    <row r="9" spans="1:3" x14ac:dyDescent="0.25">
      <c r="A9" s="2">
        <v>41153</v>
      </c>
      <c r="B9" s="7">
        <f>B2*1.0998</f>
        <v>180844.29175488729</v>
      </c>
      <c r="C9" s="7">
        <f>B9*0.023</f>
        <v>4159.4187103624081</v>
      </c>
    </row>
    <row r="10" spans="1:3" x14ac:dyDescent="0.25">
      <c r="A10" s="2">
        <v>41183</v>
      </c>
      <c r="B10" s="7">
        <f>B9*0.9834</f>
        <v>177842.27651175618</v>
      </c>
      <c r="C10" s="7">
        <f>C9*0.87452</f>
        <v>3637.494850586133</v>
      </c>
    </row>
    <row r="11" spans="1:3" x14ac:dyDescent="0.25">
      <c r="A11" s="2">
        <v>41214</v>
      </c>
      <c r="B11" s="7">
        <f>B10*1.13451</f>
        <v>201763.84112535248</v>
      </c>
      <c r="C11" s="7">
        <f>B11*0.033</f>
        <v>6658.2067571366324</v>
      </c>
    </row>
    <row r="12" spans="1:3" x14ac:dyDescent="0.25">
      <c r="A12" s="2">
        <v>41244</v>
      </c>
      <c r="B12" s="7">
        <f>B5*1.0998</f>
        <v>189226.96721060161</v>
      </c>
      <c r="C12" s="7">
        <f>C11*0.81</f>
        <v>5393.1474732806728</v>
      </c>
    </row>
    <row r="13" spans="1:3" x14ac:dyDescent="0.25">
      <c r="A13" s="2">
        <v>41275</v>
      </c>
      <c r="B13" s="7">
        <f>B10*1.33</f>
        <v>236530.22776063572</v>
      </c>
      <c r="C13" s="7">
        <f>B13*0.035</f>
        <v>8278.557971622251</v>
      </c>
    </row>
    <row r="14" spans="1:3" x14ac:dyDescent="0.25">
      <c r="A14" s="2">
        <v>41306</v>
      </c>
      <c r="B14" s="7">
        <f>B12*1.0898</f>
        <v>206219.54886611365</v>
      </c>
      <c r="C14" s="7">
        <f>C13*0.8742</f>
        <v>7237.1153787921712</v>
      </c>
    </row>
    <row r="15" spans="1:3" x14ac:dyDescent="0.25">
      <c r="A15" s="2">
        <v>41334</v>
      </c>
      <c r="B15" s="7">
        <f>B4*1.231435363</f>
        <v>212537.19922247721</v>
      </c>
      <c r="C15" s="7">
        <f>C14*0.912</f>
        <v>6600.2492254584604</v>
      </c>
    </row>
    <row r="16" spans="1:3" x14ac:dyDescent="0.25">
      <c r="A16" s="2">
        <v>41365</v>
      </c>
      <c r="B16" s="7">
        <f>B9*1.046353</f>
        <v>189226.96721060161</v>
      </c>
      <c r="C16" s="7">
        <f>B16*0.0312</f>
        <v>5903.8813769707695</v>
      </c>
    </row>
    <row r="17" spans="1:3" x14ac:dyDescent="0.25">
      <c r="A17" s="2">
        <v>41395</v>
      </c>
      <c r="B17" s="7">
        <f>B16*1.234</f>
        <v>233506.07753788237</v>
      </c>
      <c r="C17" s="7">
        <f>B17*0.035</f>
        <v>8172.7127138258838</v>
      </c>
    </row>
    <row r="18" spans="1:3" x14ac:dyDescent="0.25">
      <c r="A18" s="2">
        <v>41426</v>
      </c>
      <c r="B18" s="7">
        <f>B17*0.87742</f>
        <v>204882.90255328876</v>
      </c>
      <c r="C18" s="7">
        <f>C17*0.88131</f>
        <v>7202.6934418218898</v>
      </c>
    </row>
    <row r="19" spans="1:3" x14ac:dyDescent="0.25">
      <c r="A19" s="2">
        <v>41456</v>
      </c>
      <c r="B19" s="7">
        <f>B18*1.4536636</f>
        <v>297830.81770406297</v>
      </c>
      <c r="C19" s="7">
        <f>B19*0.0333333</f>
        <v>9927.6839957748434</v>
      </c>
    </row>
    <row r="20" spans="1:3" x14ac:dyDescent="0.25">
      <c r="A20" s="2">
        <v>41487</v>
      </c>
      <c r="B20" s="7">
        <f>B19*0.8834</f>
        <v>263103.74435976922</v>
      </c>
      <c r="C20" s="7">
        <f>C19*0.89777777</f>
        <v>8912.8539989914279</v>
      </c>
    </row>
    <row r="21" spans="1:3" x14ac:dyDescent="0.25">
      <c r="A21" s="2">
        <v>41518</v>
      </c>
      <c r="B21" s="7">
        <f>B20*1.13451</f>
        <v>298493.82901360176</v>
      </c>
      <c r="C21" s="7">
        <f>B21*0.03524312</f>
        <v>10519.85383518585</v>
      </c>
    </row>
    <row r="22" spans="1:3" x14ac:dyDescent="0.25">
      <c r="A22" s="2">
        <v>41548</v>
      </c>
      <c r="B22" s="7">
        <f>B15*1.0998</f>
        <v>233748.41170488045</v>
      </c>
      <c r="C22" s="7">
        <f>C21*0.787</f>
        <v>8279.1249682912639</v>
      </c>
    </row>
    <row r="23" spans="1:3" x14ac:dyDescent="0.25">
      <c r="A23" s="2">
        <v>41579</v>
      </c>
      <c r="B23" s="7">
        <f>B21*0.887897</f>
        <v>265031.77529968997</v>
      </c>
      <c r="C23" s="7">
        <f>C22*1.05</f>
        <v>8693.0812167058284</v>
      </c>
    </row>
    <row r="24" spans="1:3" x14ac:dyDescent="0.25">
      <c r="A24" s="2">
        <v>41609</v>
      </c>
      <c r="B24" s="7">
        <f>B23*1.1341</f>
        <v>300572.53636737843</v>
      </c>
      <c r="C24" s="7">
        <f>B24*0.0334244442</f>
        <v>10046.469969863911</v>
      </c>
    </row>
    <row r="25" spans="1:3" x14ac:dyDescent="0.25">
      <c r="A25" s="2">
        <v>41640</v>
      </c>
      <c r="B25" s="7">
        <f>B24*0.88898</f>
        <v>267202.9733798721</v>
      </c>
      <c r="C25" s="7">
        <f>C24*0.811111</f>
        <v>8148.8023037262865</v>
      </c>
    </row>
    <row r="26" spans="1:3" x14ac:dyDescent="0.25">
      <c r="A26" s="2">
        <v>41671</v>
      </c>
      <c r="B26" s="7">
        <f>B25*1.05</f>
        <v>280563.12204886571</v>
      </c>
      <c r="C26" s="7">
        <f>B26*0.033129</f>
        <v>9294.7756703568721</v>
      </c>
    </row>
    <row r="27" spans="1:3" x14ac:dyDescent="0.25">
      <c r="A27" s="2">
        <v>41699</v>
      </c>
      <c r="B27" s="7">
        <f>B26*1.00012</f>
        <v>280596.78962351155</v>
      </c>
      <c r="C27" s="7">
        <f>C26*0.99898</f>
        <v>9285.2949991731075</v>
      </c>
    </row>
    <row r="28" spans="1:3" x14ac:dyDescent="0.25">
      <c r="A28" s="2">
        <v>41730</v>
      </c>
      <c r="B28" s="7">
        <f>B27*0.9453</f>
        <v>265248.14523110545</v>
      </c>
      <c r="C28" s="7">
        <f>C26*0.89898</f>
        <v>8355.8174321374208</v>
      </c>
    </row>
    <row r="29" spans="1:3" x14ac:dyDescent="0.25">
      <c r="A29" s="2">
        <v>41760</v>
      </c>
      <c r="B29" s="7">
        <f>B28*1.0898</f>
        <v>289067.42867285875</v>
      </c>
      <c r="C29" s="7">
        <f>B29*0.0311</f>
        <v>8989.9970317259067</v>
      </c>
    </row>
    <row r="30" spans="1:3" x14ac:dyDescent="0.25">
      <c r="A30" s="2">
        <v>41791</v>
      </c>
      <c r="B30" s="7">
        <f>B29*1.0098977</f>
        <v>291928.53136163409</v>
      </c>
      <c r="C30" s="7">
        <f>C29*1.034452</f>
        <v>9299.7204094629269</v>
      </c>
    </row>
    <row r="31" spans="1:3" x14ac:dyDescent="0.25">
      <c r="A31" s="2">
        <v>41821</v>
      </c>
      <c r="B31" s="7">
        <f>B30*0.94898</f>
        <v>277034.33769156353</v>
      </c>
      <c r="C31" s="7">
        <f>B31*0.02898</f>
        <v>8028.4551063015106</v>
      </c>
    </row>
    <row r="32" spans="1:3" x14ac:dyDescent="0.25">
      <c r="A32" s="2">
        <v>41852</v>
      </c>
      <c r="B32" s="7">
        <f>B31*1.09</f>
        <v>301967.42808380426</v>
      </c>
      <c r="C32" s="7">
        <f>C31*1.0898</f>
        <v>8749.4103748473863</v>
      </c>
    </row>
    <row r="33" spans="1:3" x14ac:dyDescent="0.25">
      <c r="A33" s="2">
        <v>41883</v>
      </c>
      <c r="B33" s="7">
        <f>B32*0.893898</f>
        <v>269928.08002925647</v>
      </c>
      <c r="C33" s="7">
        <f>C32*0.834245</f>
        <v>7299.1518581645578</v>
      </c>
    </row>
    <row r="34" spans="1:3" x14ac:dyDescent="0.25">
      <c r="A34" s="2">
        <v>41913</v>
      </c>
      <c r="B34" s="7">
        <f>B33*1.08</f>
        <v>291522.326431597</v>
      </c>
      <c r="C34" s="7">
        <f>C33*1.099841</f>
        <v>8027.9064788355663</v>
      </c>
    </row>
    <row r="35" spans="1:3" x14ac:dyDescent="0.25">
      <c r="A35" s="2">
        <v>41944</v>
      </c>
      <c r="B35" s="7">
        <f>B34*0.9232</f>
        <v>269133.41176165035</v>
      </c>
      <c r="C35" s="7">
        <f>B35*0.027</f>
        <v>7266.6021175645592</v>
      </c>
    </row>
    <row r="36" spans="1:3" x14ac:dyDescent="0.25">
      <c r="A36" s="2">
        <v>41974</v>
      </c>
      <c r="B36" s="7">
        <f>B35*1.05993</f>
        <v>285262.57712852606</v>
      </c>
      <c r="C36" s="7">
        <f>B36*0.03</f>
        <v>8557.8773138557808</v>
      </c>
    </row>
    <row r="37" spans="1:3" x14ac:dyDescent="0.25">
      <c r="A37" s="2">
        <v>42005</v>
      </c>
      <c r="B37" s="7">
        <f>B36*1</f>
        <v>285262.57712852606</v>
      </c>
      <c r="C37" s="7">
        <f>C36*0.9889898</f>
        <v>8463.6533730547653</v>
      </c>
    </row>
    <row r="38" spans="1:3" x14ac:dyDescent="0.25">
      <c r="A38" s="2">
        <v>42036</v>
      </c>
      <c r="B38" s="7">
        <f>B37*1.05</f>
        <v>299525.70598495239</v>
      </c>
      <c r="C38" s="7">
        <f>B38*0.031</f>
        <v>9285.2968855335239</v>
      </c>
    </row>
    <row r="39" spans="1:3" x14ac:dyDescent="0.25">
      <c r="A39" s="2">
        <v>42064</v>
      </c>
      <c r="B39" s="7">
        <f>B38*0.9841</f>
        <v>294763.24725979165</v>
      </c>
      <c r="C39" s="7">
        <f>B39*0.03</f>
        <v>8842.8974177937489</v>
      </c>
    </row>
    <row r="40" spans="1:3" x14ac:dyDescent="0.25">
      <c r="A40" s="2">
        <v>42095</v>
      </c>
      <c r="B40" s="7">
        <f>B39*1.05993</f>
        <v>312428.40866807097</v>
      </c>
      <c r="C40" s="7">
        <f>B40*0.0333333</f>
        <v>10414.269874655411</v>
      </c>
    </row>
    <row r="41" spans="1:3" x14ac:dyDescent="0.25">
      <c r="A41" s="2">
        <v>42125</v>
      </c>
      <c r="B41" s="7">
        <f>B40*1</f>
        <v>312428.40866807097</v>
      </c>
      <c r="C41" s="7">
        <f>C40*0.984141</f>
        <v>10249.10996871325</v>
      </c>
    </row>
    <row r="42" spans="1:3" x14ac:dyDescent="0.25">
      <c r="A42" s="2">
        <v>42156</v>
      </c>
      <c r="B42" s="7">
        <f>B41*1.05</f>
        <v>328049.82910147455</v>
      </c>
      <c r="C42" s="7">
        <f>C41*1.0524141</f>
        <v>10786.307843524384</v>
      </c>
    </row>
    <row r="43" spans="1:3" x14ac:dyDescent="0.25">
      <c r="A43" s="2">
        <v>42186</v>
      </c>
      <c r="B43" s="7">
        <f>B42*0.898</f>
        <v>294588.74653312413</v>
      </c>
      <c r="C43" s="7">
        <f>C42*0.899999</f>
        <v>9707.6662728641022</v>
      </c>
    </row>
    <row r="44" spans="1:3" x14ac:dyDescent="0.25">
      <c r="A44" s="2">
        <v>42217</v>
      </c>
      <c r="B44" s="7">
        <f>B38*1.05</f>
        <v>314501.99128420005</v>
      </c>
      <c r="C44" s="7">
        <f>B44*0.0313131</f>
        <v>9848.0323032812848</v>
      </c>
    </row>
    <row r="45" spans="1:3" x14ac:dyDescent="0.25">
      <c r="A45" s="2">
        <v>42248</v>
      </c>
      <c r="B45" s="7">
        <f>B41*0.875</f>
        <v>273374.85758456209</v>
      </c>
      <c r="C45" s="7">
        <f>B45*0.0244</f>
        <v>6670.3465250633153</v>
      </c>
    </row>
    <row r="46" spans="1:3" x14ac:dyDescent="0.25">
      <c r="A46" s="2">
        <v>42278</v>
      </c>
      <c r="B46" s="7">
        <f>B23*1.08484</f>
        <v>287517.07111611567</v>
      </c>
      <c r="C46" s="7">
        <f>B46*0.03</f>
        <v>8625.5121334834694</v>
      </c>
    </row>
    <row r="47" spans="1:3" x14ac:dyDescent="0.25">
      <c r="A47" s="2">
        <v>42309</v>
      </c>
      <c r="B47" s="7">
        <f>B46*0.934242</f>
        <v>268610.52355366212</v>
      </c>
      <c r="C47" s="7">
        <f>C46*0.9123141</f>
        <v>7869.1763390980514</v>
      </c>
    </row>
    <row r="48" spans="1:3" x14ac:dyDescent="0.25">
      <c r="A48" s="2">
        <v>42339</v>
      </c>
      <c r="B48" s="7">
        <f>B27*1.05</f>
        <v>294626.62910468713</v>
      </c>
      <c r="C48" s="7">
        <f>B48*0.0280909</f>
        <v>8276.3271755168553</v>
      </c>
    </row>
    <row r="49" spans="1:3" x14ac:dyDescent="0.25">
      <c r="A49" s="2">
        <v>42370</v>
      </c>
      <c r="B49" s="7">
        <f>B48*0.93425</f>
        <v>275254.92824105395</v>
      </c>
      <c r="C49" s="7">
        <f>C48*0.8989898</f>
        <v>7440.3337122524626</v>
      </c>
    </row>
    <row r="50" spans="1:3" x14ac:dyDescent="0.25">
      <c r="A50" s="2">
        <v>42401</v>
      </c>
      <c r="B50" s="7">
        <f t="shared" ref="B50" si="0">B49*0.898</f>
        <v>247178.92556046645</v>
      </c>
      <c r="C50" s="7">
        <f>C49*0.83121</f>
        <v>6184.4797849613697</v>
      </c>
    </row>
    <row r="51" spans="1:3" x14ac:dyDescent="0.25">
      <c r="A51" s="2">
        <v>42430</v>
      </c>
      <c r="B51" s="7">
        <f t="shared" ref="B51" si="1">B45*1.05</f>
        <v>287043.60046379024</v>
      </c>
      <c r="C51" s="7">
        <f>B51*0.028</f>
        <v>8037.2208129861265</v>
      </c>
    </row>
    <row r="52" spans="1:3" x14ac:dyDescent="0.25">
      <c r="A52" s="2">
        <v>42461</v>
      </c>
      <c r="B52" s="7">
        <f t="shared" ref="B52" si="2">B48*0.875</f>
        <v>257798.30046660124</v>
      </c>
      <c r="C52" s="7">
        <f>B52*0.026</f>
        <v>6702.7558121316324</v>
      </c>
    </row>
    <row r="53" spans="1:3" x14ac:dyDescent="0.25">
      <c r="A53" s="2">
        <v>42491</v>
      </c>
      <c r="B53" s="7">
        <f t="shared" ref="B53" si="3">B30*1.08484</f>
        <v>316695.74796235515</v>
      </c>
      <c r="C53" s="7">
        <f>C52*1.33</f>
        <v>8914.6652301350714</v>
      </c>
    </row>
    <row r="54" spans="1:3" x14ac:dyDescent="0.25">
      <c r="A54" s="2">
        <v>42522</v>
      </c>
      <c r="B54" s="7">
        <f t="shared" ref="B54" si="4">B53*0.934242</f>
        <v>295870.46896784659</v>
      </c>
      <c r="C54" s="7">
        <f>B54*0.02898</f>
        <v>8574.3261906881944</v>
      </c>
    </row>
    <row r="55" spans="1:3" x14ac:dyDescent="0.25">
      <c r="A55" s="2">
        <v>42552</v>
      </c>
      <c r="B55" s="7">
        <f t="shared" ref="B55" si="5">B34*1.05</f>
        <v>306098.44275317685</v>
      </c>
      <c r="C55" s="7">
        <f>B55*0.02898</f>
        <v>8870.7328709870653</v>
      </c>
    </row>
    <row r="56" spans="1:3" x14ac:dyDescent="0.25">
      <c r="A56" s="2">
        <v>42583</v>
      </c>
      <c r="B56" s="7">
        <f t="shared" ref="B56" si="6">B55*0.93425</f>
        <v>285972.47014215548</v>
      </c>
      <c r="C56" s="7">
        <f t="shared" ref="C56:C67" si="7">B56*0.02898</f>
        <v>8287.4821847196654</v>
      </c>
    </row>
    <row r="57" spans="1:3" x14ac:dyDescent="0.25">
      <c r="A57" s="2">
        <v>42614</v>
      </c>
      <c r="B57" s="7">
        <f t="shared" ref="B57" si="8">B56*0.898</f>
        <v>256803.27818765561</v>
      </c>
      <c r="C57" s="7">
        <f t="shared" si="7"/>
        <v>7442.159001878259</v>
      </c>
    </row>
    <row r="58" spans="1:3" x14ac:dyDescent="0.25">
      <c r="A58" s="2">
        <v>42644</v>
      </c>
      <c r="B58" s="7">
        <f t="shared" ref="B58" si="9">B52*1.05</f>
        <v>270688.21548993129</v>
      </c>
      <c r="C58" s="7">
        <f t="shared" si="7"/>
        <v>7844.5444848982088</v>
      </c>
    </row>
    <row r="59" spans="1:3" x14ac:dyDescent="0.25">
      <c r="A59" s="2">
        <v>42675</v>
      </c>
      <c r="B59" s="7">
        <f t="shared" ref="B59" si="10">B55*0.875</f>
        <v>267836.13740902976</v>
      </c>
      <c r="C59" s="7">
        <f t="shared" si="7"/>
        <v>7761.8912621136824</v>
      </c>
    </row>
    <row r="60" spans="1:3" x14ac:dyDescent="0.25">
      <c r="A60" s="2">
        <v>42705</v>
      </c>
      <c r="B60" s="7">
        <f t="shared" ref="B60" si="11">B37*1.08484</f>
        <v>309464.25417211023</v>
      </c>
      <c r="C60" s="7">
        <f t="shared" si="7"/>
        <v>8968.2740859077549</v>
      </c>
    </row>
    <row r="61" spans="1:3" x14ac:dyDescent="0.25">
      <c r="A61" s="2">
        <v>42736</v>
      </c>
      <c r="B61" s="7">
        <f>B60*0.823242</f>
        <v>254763.97153315638</v>
      </c>
      <c r="C61" s="7">
        <f t="shared" si="7"/>
        <v>7383.0598950308713</v>
      </c>
    </row>
    <row r="62" spans="1:3" x14ac:dyDescent="0.25">
      <c r="A62" s="2">
        <v>42767</v>
      </c>
      <c r="B62" s="7">
        <f>B56*0.8741</f>
        <v>249968.5361512581</v>
      </c>
      <c r="C62" s="7">
        <f t="shared" si="7"/>
        <v>7244.0881776634596</v>
      </c>
    </row>
    <row r="63" spans="1:3" x14ac:dyDescent="0.25">
      <c r="A63" s="2">
        <v>42795</v>
      </c>
      <c r="B63" s="7">
        <f>B50*1.07525</f>
        <v>265779.13970889157</v>
      </c>
      <c r="C63" s="7">
        <f t="shared" si="7"/>
        <v>7702.279468763677</v>
      </c>
    </row>
    <row r="64" spans="1:3" x14ac:dyDescent="0.25">
      <c r="A64" s="2">
        <v>42826</v>
      </c>
      <c r="B64" s="7">
        <f>B52*1.0999</f>
        <v>283552.35068321472</v>
      </c>
      <c r="C64" s="7">
        <f t="shared" si="7"/>
        <v>8217.3471227995633</v>
      </c>
    </row>
    <row r="65" spans="1:3" x14ac:dyDescent="0.25">
      <c r="A65" s="2">
        <v>42856</v>
      </c>
      <c r="B65" s="7">
        <f>B64*0.8484848</f>
        <v>240589.85955897733</v>
      </c>
      <c r="C65" s="7">
        <f t="shared" si="7"/>
        <v>6972.2941300191624</v>
      </c>
    </row>
    <row r="66" spans="1:3" x14ac:dyDescent="0.25">
      <c r="A66" s="2">
        <v>42887</v>
      </c>
      <c r="B66" s="7">
        <f>B60*0.8442</f>
        <v>261249.72337209544</v>
      </c>
      <c r="C66" s="7">
        <f t="shared" si="7"/>
        <v>7571.0169833233258</v>
      </c>
    </row>
    <row r="67" spans="1:3" x14ac:dyDescent="0.25">
      <c r="A67" s="2">
        <v>42917</v>
      </c>
      <c r="B67" s="7">
        <f>B66*1.077777</f>
        <v>281568.9431068069</v>
      </c>
      <c r="C67" s="7">
        <f t="shared" si="7"/>
        <v>8159.8679712352632</v>
      </c>
    </row>
    <row r="68" spans="1:3" x14ac:dyDescent="0.25">
      <c r="A68" s="2">
        <v>42948</v>
      </c>
      <c r="B68" s="7">
        <f t="shared" ref="B68" si="12">B64*0.875</f>
        <v>248108.3068478129</v>
      </c>
      <c r="C68" s="7">
        <f>C67*0.8111</f>
        <v>6618.4689114689227</v>
      </c>
    </row>
    <row r="69" spans="1:3" x14ac:dyDescent="0.25">
      <c r="A69" s="2">
        <v>42979</v>
      </c>
      <c r="B69" s="7">
        <f t="shared" ref="B69" si="13">B46*1.08484</f>
        <v>311910.01942960691</v>
      </c>
      <c r="C69" s="7">
        <f>B69*0.033</f>
        <v>10293.030641177029</v>
      </c>
    </row>
    <row r="70" spans="1:3" x14ac:dyDescent="0.25">
      <c r="A70" s="2">
        <v>43009</v>
      </c>
      <c r="B70" s="7">
        <f>B69*0.823242</f>
        <v>256777.42821526845</v>
      </c>
      <c r="C70" s="7">
        <f>C69*0.777777</f>
        <v>8005.6824930027469</v>
      </c>
    </row>
    <row r="71" spans="1:3" x14ac:dyDescent="0.25">
      <c r="A71" s="2">
        <v>43040</v>
      </c>
      <c r="B71" s="7">
        <f>B65*0.8741</f>
        <v>210299.59624050208</v>
      </c>
      <c r="C71" s="7">
        <f>C70*0.777777</f>
        <v>6226.6357123601983</v>
      </c>
    </row>
    <row r="72" spans="1:3" x14ac:dyDescent="0.25">
      <c r="A72" s="2">
        <v>43070</v>
      </c>
      <c r="B72" s="7">
        <f>B59*1.07525</f>
        <v>287990.80674905924</v>
      </c>
      <c r="C72" s="7">
        <f>B72*0.02444</f>
        <v>7038.4953169470073</v>
      </c>
    </row>
    <row r="73" spans="1:3" x14ac:dyDescent="0.25">
      <c r="A73" s="2">
        <v>43101</v>
      </c>
      <c r="B73" s="7">
        <f>B61*1.0999</f>
        <v>280214.89228931873</v>
      </c>
      <c r="C73" s="7">
        <f>B73*0.025995</f>
        <v>7284.1861250608408</v>
      </c>
    </row>
    <row r="74" spans="1:3" x14ac:dyDescent="0.25">
      <c r="A74" s="2">
        <v>43132</v>
      </c>
      <c r="B74" s="7">
        <f>B73*0.8484848</f>
        <v>237758.07684112416</v>
      </c>
      <c r="C74" s="7">
        <f>B74*0.02444</f>
        <v>5810.8073979970741</v>
      </c>
    </row>
    <row r="75" spans="1:3" x14ac:dyDescent="0.25">
      <c r="A75" s="2">
        <v>43160</v>
      </c>
      <c r="B75" s="7">
        <f>B69*0.8442</f>
        <v>263314.43840247416</v>
      </c>
      <c r="C75" s="7">
        <f>B75*0.025995</f>
        <v>6844.858826272316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CC"/>
  </sheetPr>
  <dimension ref="B2:P19"/>
  <sheetViews>
    <sheetView workbookViewId="0">
      <selection activeCell="H17" sqref="H17"/>
    </sheetView>
  </sheetViews>
  <sheetFormatPr defaultRowHeight="15" x14ac:dyDescent="0.25"/>
  <cols>
    <col min="4" max="4" width="12.5703125" customWidth="1"/>
    <col min="8" max="8" width="10.140625" bestFit="1" customWidth="1"/>
    <col min="16" max="16" width="11.5703125" customWidth="1"/>
  </cols>
  <sheetData>
    <row r="2" spans="2:16" x14ac:dyDescent="0.25">
      <c r="B2" s="40"/>
      <c r="C2" t="s">
        <v>60</v>
      </c>
    </row>
    <row r="3" spans="2:16" x14ac:dyDescent="0.25">
      <c r="F3" t="s">
        <v>53</v>
      </c>
    </row>
    <row r="4" spans="2:16" x14ac:dyDescent="0.25">
      <c r="F4" t="s">
        <v>54</v>
      </c>
    </row>
    <row r="6" spans="2:16" x14ac:dyDescent="0.25">
      <c r="D6" s="11" t="s">
        <v>26</v>
      </c>
      <c r="E6" s="12"/>
      <c r="F6" s="12"/>
      <c r="G6" s="12"/>
      <c r="H6" s="13"/>
      <c r="L6" s="11" t="s">
        <v>44</v>
      </c>
      <c r="M6" s="12"/>
      <c r="N6" s="12"/>
      <c r="O6" s="12"/>
      <c r="P6" s="13"/>
    </row>
    <row r="7" spans="2:16" x14ac:dyDescent="0.25">
      <c r="D7" s="15" t="s">
        <v>27</v>
      </c>
      <c r="E7" s="16"/>
      <c r="F7" s="16"/>
      <c r="G7" s="17"/>
      <c r="H7" s="14"/>
      <c r="L7" s="15" t="s">
        <v>45</v>
      </c>
      <c r="M7" s="16"/>
      <c r="N7" s="17"/>
      <c r="O7" s="28"/>
      <c r="P7" s="14"/>
    </row>
    <row r="8" spans="2:16" x14ac:dyDescent="0.25">
      <c r="D8" s="18" t="s">
        <v>46</v>
      </c>
      <c r="E8" s="23" t="s">
        <v>28</v>
      </c>
      <c r="F8" s="19"/>
      <c r="G8" s="19"/>
      <c r="H8" s="20" t="s">
        <v>29</v>
      </c>
      <c r="L8" s="11" t="s">
        <v>47</v>
      </c>
      <c r="M8" s="12" t="s">
        <v>48</v>
      </c>
      <c r="N8" s="12"/>
      <c r="O8" s="12" t="s">
        <v>49</v>
      </c>
      <c r="P8" s="13"/>
    </row>
    <row r="9" spans="2:16" x14ac:dyDescent="0.25">
      <c r="D9" s="18"/>
      <c r="E9" s="19" t="s">
        <v>41</v>
      </c>
      <c r="F9" s="19"/>
      <c r="G9" s="19"/>
      <c r="H9" s="32">
        <v>0.19</v>
      </c>
      <c r="L9" s="29"/>
      <c r="M9" s="30" t="s">
        <v>50</v>
      </c>
      <c r="N9" s="30"/>
      <c r="O9" s="34">
        <f>(395*H9)*1.141</f>
        <v>85.632049999999992</v>
      </c>
      <c r="P9" s="35"/>
    </row>
    <row r="10" spans="2:16" x14ac:dyDescent="0.25">
      <c r="D10" s="18"/>
      <c r="E10" s="19" t="s">
        <v>31</v>
      </c>
      <c r="F10" s="19"/>
      <c r="G10" s="19"/>
      <c r="H10" s="33">
        <f>H9*0.11897324</f>
        <v>2.2604915600000001E-2</v>
      </c>
      <c r="L10" s="29"/>
      <c r="M10" s="30" t="s">
        <v>51</v>
      </c>
      <c r="N10" s="30"/>
      <c r="O10" s="34">
        <f>(385*H10)*0.881345</f>
        <v>7.6702507957005697</v>
      </c>
      <c r="P10" s="35"/>
    </row>
    <row r="11" spans="2:16" x14ac:dyDescent="0.25">
      <c r="D11" s="18"/>
      <c r="E11" s="19" t="s">
        <v>32</v>
      </c>
      <c r="F11" s="19"/>
      <c r="G11" s="19"/>
      <c r="H11" s="33">
        <f>H10*1.708142133</f>
        <v>3.8612408749268974E-2</v>
      </c>
      <c r="L11" s="29"/>
      <c r="M11" s="31" t="s">
        <v>32</v>
      </c>
      <c r="N11" s="30"/>
      <c r="O11" s="34">
        <f>(385*H11)*1.13908</f>
        <v>16.933309684875162</v>
      </c>
      <c r="P11" s="35"/>
    </row>
    <row r="12" spans="2:16" x14ac:dyDescent="0.25">
      <c r="D12" s="18"/>
      <c r="E12" s="19" t="s">
        <v>33</v>
      </c>
      <c r="F12" s="19"/>
      <c r="G12" s="19"/>
      <c r="H12" s="33">
        <f>H11*1.82342</f>
        <v>7.0406638361592028E-2</v>
      </c>
      <c r="L12" s="29"/>
      <c r="M12" s="31" t="s">
        <v>52</v>
      </c>
      <c r="N12" s="30"/>
      <c r="O12" s="34">
        <f>(389*H12)*1.333333</f>
        <v>36.517567300818293</v>
      </c>
      <c r="P12" s="35"/>
    </row>
    <row r="13" spans="2:16" x14ac:dyDescent="0.25">
      <c r="D13" s="18"/>
      <c r="E13" s="19" t="s">
        <v>30</v>
      </c>
      <c r="F13" s="19"/>
      <c r="G13" s="19"/>
      <c r="H13" s="33">
        <f>H12*1.33733</f>
        <v>9.4156909680107856E-2</v>
      </c>
      <c r="L13" s="29"/>
      <c r="M13" s="31" t="s">
        <v>30</v>
      </c>
      <c r="N13" s="30"/>
      <c r="O13" s="34">
        <f>(355*H13)*1.333333333</f>
        <v>44.567603904109149</v>
      </c>
      <c r="P13" s="35"/>
    </row>
    <row r="14" spans="2:16" x14ac:dyDescent="0.25">
      <c r="D14" s="18"/>
      <c r="E14" s="19" t="s">
        <v>42</v>
      </c>
      <c r="F14" s="19"/>
      <c r="G14" s="19"/>
      <c r="H14" s="33">
        <f>1-H9-H10-H11-H12-H13</f>
        <v>0.58421912760903127</v>
      </c>
      <c r="L14" s="27"/>
      <c r="M14" s="28" t="s">
        <v>42</v>
      </c>
      <c r="N14" s="28"/>
      <c r="O14" s="36">
        <f>(H14*383)*0.7777</f>
        <v>174.01498355241119</v>
      </c>
      <c r="P14" s="37"/>
    </row>
    <row r="15" spans="2:16" x14ac:dyDescent="0.25">
      <c r="D15" s="24"/>
      <c r="E15" s="25"/>
      <c r="F15" s="25"/>
      <c r="G15" s="25"/>
      <c r="H15" s="26"/>
      <c r="O15" s="7">
        <f>SUM(O9:O14)</f>
        <v>365.33576523791436</v>
      </c>
    </row>
    <row r="16" spans="2:16" x14ac:dyDescent="0.25">
      <c r="D16" s="18"/>
      <c r="E16" s="19"/>
      <c r="F16" s="19"/>
      <c r="G16" s="19"/>
      <c r="H16" s="20"/>
    </row>
    <row r="17" spans="4:8" x14ac:dyDescent="0.25">
      <c r="D17" s="55" t="s">
        <v>43</v>
      </c>
      <c r="E17" s="21"/>
      <c r="F17" s="21"/>
      <c r="G17" s="21"/>
      <c r="H17" s="22"/>
    </row>
    <row r="19" spans="4:8" x14ac:dyDescent="0.25">
      <c r="F19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D2:M84"/>
  <sheetViews>
    <sheetView workbookViewId="0">
      <selection activeCell="I33" sqref="I33"/>
    </sheetView>
  </sheetViews>
  <sheetFormatPr defaultRowHeight="15" x14ac:dyDescent="0.25"/>
  <cols>
    <col min="4" max="4" width="12.5703125" customWidth="1"/>
    <col min="5" max="5" width="17.140625" customWidth="1"/>
    <col min="6" max="6" width="17.28515625" customWidth="1"/>
    <col min="7" max="7" width="13.140625" customWidth="1"/>
    <col min="8" max="8" width="12.42578125" customWidth="1"/>
    <col min="12" max="12" width="10" bestFit="1" customWidth="1"/>
  </cols>
  <sheetData>
    <row r="2" spans="4:13" x14ac:dyDescent="0.25">
      <c r="D2" s="44" t="s">
        <v>87</v>
      </c>
      <c r="E2" t="s">
        <v>84</v>
      </c>
    </row>
    <row r="3" spans="4:13" x14ac:dyDescent="0.25">
      <c r="E3" t="s">
        <v>85</v>
      </c>
    </row>
    <row r="4" spans="4:13" x14ac:dyDescent="0.25">
      <c r="E4" t="s">
        <v>86</v>
      </c>
    </row>
    <row r="5" spans="4:13" x14ac:dyDescent="0.25">
      <c r="E5" t="s">
        <v>94</v>
      </c>
    </row>
    <row r="7" spans="4:13" x14ac:dyDescent="0.25">
      <c r="E7" s="24" t="s">
        <v>70</v>
      </c>
      <c r="F7" s="25" t="s">
        <v>72</v>
      </c>
      <c r="G7" s="25" t="s">
        <v>73</v>
      </c>
      <c r="H7" s="25" t="s">
        <v>75</v>
      </c>
      <c r="I7" s="25" t="s">
        <v>77</v>
      </c>
      <c r="J7" s="25" t="s">
        <v>79</v>
      </c>
      <c r="K7" s="25" t="s">
        <v>81</v>
      </c>
      <c r="L7" s="26" t="s">
        <v>82</v>
      </c>
    </row>
    <row r="8" spans="4:13" x14ac:dyDescent="0.25">
      <c r="D8" s="46"/>
      <c r="E8" s="47" t="s">
        <v>71</v>
      </c>
      <c r="F8" s="45" t="s">
        <v>88</v>
      </c>
      <c r="G8" s="45" t="s">
        <v>74</v>
      </c>
      <c r="H8" s="45" t="s">
        <v>76</v>
      </c>
      <c r="I8" s="45" t="s">
        <v>78</v>
      </c>
      <c r="J8" s="45" t="s">
        <v>80</v>
      </c>
      <c r="K8" s="45" t="s">
        <v>75</v>
      </c>
      <c r="L8" s="48" t="s">
        <v>83</v>
      </c>
      <c r="M8" s="17"/>
    </row>
    <row r="9" spans="4:13" x14ac:dyDescent="0.25">
      <c r="D9" s="42" t="s">
        <v>65</v>
      </c>
      <c r="E9" s="52">
        <v>39</v>
      </c>
      <c r="F9" s="49">
        <f>E9*1.3355</f>
        <v>52.084499999999998</v>
      </c>
      <c r="G9" s="49">
        <f>F9*1.121</f>
        <v>58.3867245</v>
      </c>
      <c r="H9" s="49">
        <f>E10*1.5567</f>
        <v>43.712135999999994</v>
      </c>
      <c r="I9" s="49">
        <f>E9*0.45662</f>
        <v>17.80818</v>
      </c>
      <c r="J9" s="49">
        <f>F9*0.8733353</f>
        <v>45.48723243285</v>
      </c>
      <c r="K9" s="49">
        <f>G9*0.883</f>
        <v>51.555477733499998</v>
      </c>
      <c r="L9" s="49">
        <f>E9*1.33</f>
        <v>51.870000000000005</v>
      </c>
      <c r="M9" s="20"/>
    </row>
    <row r="10" spans="4:13" x14ac:dyDescent="0.25">
      <c r="D10" s="42" t="s">
        <v>64</v>
      </c>
      <c r="E10" s="49">
        <f>E9*0.72</f>
        <v>28.08</v>
      </c>
      <c r="F10" s="49">
        <f>F9*0.7734</f>
        <v>40.2821523</v>
      </c>
      <c r="G10" s="49">
        <f>G9*1.02</f>
        <v>59.554458990000001</v>
      </c>
      <c r="H10" s="49">
        <f>F10*0.732254</f>
        <v>29.496767150284199</v>
      </c>
      <c r="I10" s="49">
        <f>(E10*0.30121)*10</f>
        <v>84.579767999999987</v>
      </c>
      <c r="J10" s="49">
        <f>F10*1.033321</f>
        <v>41.624393896788298</v>
      </c>
      <c r="K10" s="49">
        <f>F10*1.21</f>
        <v>48.741404283000001</v>
      </c>
      <c r="L10" s="49">
        <f>E10*1.38791231</f>
        <v>38.972577664799992</v>
      </c>
      <c r="M10" s="20"/>
    </row>
    <row r="11" spans="4:13" x14ac:dyDescent="0.25">
      <c r="D11" s="42" t="s">
        <v>66</v>
      </c>
      <c r="E11" s="49">
        <f>E10*1.033</f>
        <v>29.006639999999997</v>
      </c>
      <c r="F11" s="49">
        <f>F10*1.167</f>
        <v>47.009271734100004</v>
      </c>
      <c r="G11" s="49">
        <f>G10*0.834</f>
        <v>49.668418797659996</v>
      </c>
      <c r="H11" s="49">
        <f>G10*0.551</f>
        <v>32.814506903490006</v>
      </c>
      <c r="I11" s="49">
        <f>(E11*0.21011)*10</f>
        <v>60.945851303999994</v>
      </c>
      <c r="J11" s="49">
        <f>F9*0.912314</f>
        <v>47.517418532999997</v>
      </c>
      <c r="K11" s="49">
        <f>K9*0.887312</f>
        <v>45.74579405866735</v>
      </c>
      <c r="L11" s="49">
        <f>J11*1.17758</f>
        <v>55.955561716090138</v>
      </c>
      <c r="M11" s="20"/>
    </row>
    <row r="12" spans="4:13" x14ac:dyDescent="0.25">
      <c r="D12" s="42" t="s">
        <v>67</v>
      </c>
      <c r="E12" s="49">
        <f>E9*0.3821</f>
        <v>14.901899999999999</v>
      </c>
      <c r="F12" s="49">
        <f>F9*0.3742</f>
        <v>19.490019899999997</v>
      </c>
      <c r="G12" s="49">
        <f>G11*1.12</f>
        <v>55.6286290533792</v>
      </c>
      <c r="H12" s="49">
        <f>F12*1.05555</f>
        <v>20.572690505444996</v>
      </c>
      <c r="I12" s="49">
        <f>(E12*0.3321)*10</f>
        <v>49.489209899999992</v>
      </c>
      <c r="J12" s="49">
        <f>J9*1.042542</f>
        <v>47.422350275008306</v>
      </c>
      <c r="K12" s="49">
        <f>K11*0.9121313</f>
        <v>41.726170604264524</v>
      </c>
      <c r="L12" s="49">
        <f>L11*1.05</f>
        <v>58.753339801894647</v>
      </c>
      <c r="M12" s="20"/>
    </row>
    <row r="13" spans="4:13" x14ac:dyDescent="0.25">
      <c r="D13" s="42" t="s">
        <v>68</v>
      </c>
      <c r="E13" s="49">
        <f>E12*1.089</f>
        <v>16.228169099999999</v>
      </c>
      <c r="F13" s="49">
        <f>F12*0.83353</f>
        <v>16.245516287246996</v>
      </c>
      <c r="G13" s="49">
        <f>G12*0.7735</f>
        <v>43.02874457278881</v>
      </c>
      <c r="H13" s="49">
        <f>H10*0.8989</f>
        <v>26.514643991390468</v>
      </c>
      <c r="I13" s="49">
        <f>(E13*0.3355)*10</f>
        <v>54.4455073305</v>
      </c>
      <c r="J13" s="49">
        <f>F13*2.397755</f>
        <v>38.952767905327924</v>
      </c>
      <c r="K13" s="49">
        <f>K12*0.89898</f>
        <v>37.510992849821719</v>
      </c>
      <c r="L13" s="49">
        <f>G13*0.987</f>
        <v>42.469370893342557</v>
      </c>
      <c r="M13" s="20"/>
    </row>
    <row r="14" spans="4:13" x14ac:dyDescent="0.25">
      <c r="D14" s="42" t="s">
        <v>69</v>
      </c>
      <c r="E14" s="49">
        <f>E9*0.55686</f>
        <v>21.71754</v>
      </c>
      <c r="F14" s="49">
        <f>F13*1.0911753</f>
        <v>17.726706108391628</v>
      </c>
      <c r="G14" s="49">
        <f>G13*0.37526</f>
        <v>16.14696668838473</v>
      </c>
      <c r="H14" s="49">
        <f>H13*0.87654325555</f>
        <v>23.241232363962649</v>
      </c>
      <c r="I14" s="49">
        <f>(E14*0.178454)*10</f>
        <v>38.755818831600003</v>
      </c>
      <c r="J14" s="49">
        <f>J9*1.27</f>
        <v>57.768785189719502</v>
      </c>
      <c r="K14" s="49">
        <f>K10*1.07878787</f>
        <v>52.58163570726645</v>
      </c>
      <c r="L14" s="49">
        <f>L13*1.2712</f>
        <v>53.987064279617066</v>
      </c>
      <c r="M14" s="20"/>
    </row>
    <row r="15" spans="4:13" x14ac:dyDescent="0.25">
      <c r="D15" s="42"/>
      <c r="E15" s="19"/>
      <c r="F15" s="19"/>
      <c r="G15" s="19"/>
      <c r="H15" s="19"/>
      <c r="I15" s="19"/>
      <c r="J15" s="19"/>
      <c r="K15" s="19"/>
      <c r="L15" s="19"/>
      <c r="M15" s="20"/>
    </row>
    <row r="16" spans="4:13" x14ac:dyDescent="0.25">
      <c r="D16" s="43"/>
      <c r="E16" s="54" t="s">
        <v>95</v>
      </c>
      <c r="F16" s="21"/>
      <c r="G16" s="21"/>
      <c r="H16" s="21"/>
      <c r="I16" s="21"/>
      <c r="J16" s="21"/>
      <c r="K16" s="21"/>
      <c r="L16" s="21"/>
      <c r="M16" s="22"/>
    </row>
    <row r="19" spans="4:7" x14ac:dyDescent="0.25">
      <c r="D19" s="53"/>
      <c r="E19" t="s">
        <v>98</v>
      </c>
    </row>
    <row r="22" spans="4:7" x14ac:dyDescent="0.25">
      <c r="D22" s="44" t="s">
        <v>89</v>
      </c>
      <c r="E22" t="s">
        <v>107</v>
      </c>
    </row>
    <row r="23" spans="4:7" x14ac:dyDescent="0.25">
      <c r="E23" t="s">
        <v>111</v>
      </c>
    </row>
    <row r="24" spans="4:7" x14ac:dyDescent="0.25">
      <c r="D24" s="62" t="s">
        <v>110</v>
      </c>
      <c r="E24" s="45" t="s">
        <v>108</v>
      </c>
      <c r="F24" s="45" t="s">
        <v>109</v>
      </c>
      <c r="G24" s="48" t="s">
        <v>20</v>
      </c>
    </row>
    <row r="25" spans="4:7" x14ac:dyDescent="0.25">
      <c r="D25" s="63" t="s">
        <v>112</v>
      </c>
      <c r="E25" s="65">
        <v>119</v>
      </c>
      <c r="F25" s="66">
        <f>E69*0.898013331</f>
        <v>173.8185809979428</v>
      </c>
      <c r="G25" s="67">
        <f>E26*1.05</f>
        <v>128.69002089300002</v>
      </c>
    </row>
    <row r="26" spans="4:7" x14ac:dyDescent="0.25">
      <c r="D26" s="64" t="s">
        <v>113</v>
      </c>
      <c r="E26" s="68">
        <f>E25*1.02993214</f>
        <v>122.56192466000002</v>
      </c>
      <c r="F26" s="69">
        <f>E26*1.1</f>
        <v>134.81811712600003</v>
      </c>
      <c r="G26" s="70">
        <f>G25*1.056</f>
        <v>135.89666206300802</v>
      </c>
    </row>
    <row r="27" spans="4:7" x14ac:dyDescent="0.25">
      <c r="D27" s="63" t="s">
        <v>114</v>
      </c>
      <c r="E27" s="68">
        <f>E26*1.134</f>
        <v>138.98522256443999</v>
      </c>
      <c r="F27" s="69">
        <f>E27*0.98741</f>
        <v>137.23539861235369</v>
      </c>
      <c r="G27" s="70">
        <f>G26*1.03</f>
        <v>139.97356192489826</v>
      </c>
    </row>
    <row r="28" spans="4:7" x14ac:dyDescent="0.25">
      <c r="D28" s="64" t="s">
        <v>115</v>
      </c>
      <c r="E28" s="68">
        <f>E27*1.21</f>
        <v>168.17211930297239</v>
      </c>
      <c r="F28" s="69">
        <f>E28*0.942</f>
        <v>158.4181363834</v>
      </c>
      <c r="G28" s="70">
        <f>G27*1.02</f>
        <v>142.77303316339624</v>
      </c>
    </row>
    <row r="29" spans="4:7" x14ac:dyDescent="0.25">
      <c r="D29" s="63" t="s">
        <v>116</v>
      </c>
      <c r="E29" s="68">
        <f>E28*1.123</f>
        <v>188.857289977238</v>
      </c>
      <c r="F29" s="69">
        <f>E29*0.8525</f>
        <v>161.00083970559541</v>
      </c>
      <c r="G29" s="70">
        <f>G28*1.023</f>
        <v>146.05681292615432</v>
      </c>
    </row>
    <row r="30" spans="4:7" x14ac:dyDescent="0.25">
      <c r="D30" s="64" t="s">
        <v>117</v>
      </c>
      <c r="E30" s="68">
        <f>E29*0.89024133</f>
        <v>168.12856500953202</v>
      </c>
      <c r="F30" s="69">
        <f>E30*0.8452</f>
        <v>142.10226314605646</v>
      </c>
      <c r="G30" s="70">
        <f>G29*1.03</f>
        <v>150.43851731393895</v>
      </c>
    </row>
    <row r="31" spans="4:7" x14ac:dyDescent="0.25">
      <c r="D31" s="63" t="s">
        <v>118</v>
      </c>
      <c r="E31" s="68">
        <f>E30*0.8721</f>
        <v>146.62492154481288</v>
      </c>
      <c r="F31" s="69">
        <f>E31*1.052</f>
        <v>154.24941746514315</v>
      </c>
      <c r="G31" s="70">
        <f>G30*1.05</f>
        <v>157.96044317963589</v>
      </c>
    </row>
    <row r="32" spans="4:7" x14ac:dyDescent="0.25">
      <c r="D32" s="64" t="s">
        <v>119</v>
      </c>
      <c r="E32" s="68">
        <f>E31*1.03234</f>
        <v>151.36677150757214</v>
      </c>
      <c r="F32" s="69">
        <f>E32*0.9423</f>
        <v>142.63290879158524</v>
      </c>
      <c r="G32" s="70">
        <f>G31*1.025</f>
        <v>161.90945425912676</v>
      </c>
    </row>
    <row r="33" spans="4:7" x14ac:dyDescent="0.25">
      <c r="D33" s="63" t="s">
        <v>120</v>
      </c>
      <c r="E33" s="68">
        <f>E32*1.001653</f>
        <v>151.61698078087414</v>
      </c>
      <c r="F33" s="69">
        <f>E33*0.88</f>
        <v>133.42294308716924</v>
      </c>
      <c r="G33" s="70">
        <f>G32*0.89</f>
        <v>144.09941429062283</v>
      </c>
    </row>
    <row r="34" spans="4:7" x14ac:dyDescent="0.25">
      <c r="D34" s="64" t="s">
        <v>121</v>
      </c>
      <c r="E34" s="68">
        <f>E33*0.87723</f>
        <v>133.00296405040621</v>
      </c>
      <c r="F34" s="69">
        <f>F33*1.075</f>
        <v>143.42966381870693</v>
      </c>
      <c r="G34" s="70">
        <f>G33*0.87452</f>
        <v>126.01781978543548</v>
      </c>
    </row>
    <row r="35" spans="4:7" x14ac:dyDescent="0.25">
      <c r="D35" s="63" t="s">
        <v>122</v>
      </c>
      <c r="E35" s="68">
        <f>E34*1.083</f>
        <v>144.04221006658992</v>
      </c>
      <c r="F35" s="69">
        <f>F34*0.9942</f>
        <v>142.59777176855843</v>
      </c>
      <c r="G35" s="70">
        <f>G34*1.04</f>
        <v>131.05853257685291</v>
      </c>
    </row>
    <row r="36" spans="4:7" x14ac:dyDescent="0.25">
      <c r="D36" s="64" t="s">
        <v>123</v>
      </c>
      <c r="E36" s="68">
        <f>E35*1.04552</f>
        <v>150.59901146882109</v>
      </c>
      <c r="F36" s="69">
        <f>F35*1.0135323</f>
        <v>144.52744759546209</v>
      </c>
      <c r="G36" s="70">
        <f>G35*1.074</f>
        <v>140.75686398754004</v>
      </c>
    </row>
    <row r="37" spans="4:7" x14ac:dyDescent="0.25">
      <c r="D37" s="63" t="s">
        <v>124</v>
      </c>
      <c r="E37" s="68">
        <f>E36*1.0003831</f>
        <v>150.6567059501148</v>
      </c>
      <c r="F37" s="69">
        <f>F36*0.942142</f>
        <v>136.16537853248386</v>
      </c>
      <c r="G37" s="70">
        <f>G36*1.0453</f>
        <v>147.13314992617561</v>
      </c>
    </row>
    <row r="38" spans="4:7" x14ac:dyDescent="0.25">
      <c r="D38" s="64" t="s">
        <v>125</v>
      </c>
      <c r="E38" s="68">
        <f>E37*0.89424</f>
        <v>134.72325272883066</v>
      </c>
      <c r="F38" s="69">
        <f>E38*1.121</f>
        <v>151.02476630901916</v>
      </c>
      <c r="G38" s="70">
        <f>G37*1.01342</f>
        <v>149.10767679818488</v>
      </c>
    </row>
    <row r="39" spans="4:7" x14ac:dyDescent="0.25">
      <c r="D39" s="63" t="s">
        <v>126</v>
      </c>
      <c r="E39" s="68">
        <f>E38*1.02</f>
        <v>137.41771778340728</v>
      </c>
      <c r="F39" s="69">
        <f>E39*1.0425</f>
        <v>143.25797078920209</v>
      </c>
      <c r="G39" s="70">
        <f>G38*1.01434</f>
        <v>151.24588088347085</v>
      </c>
    </row>
    <row r="40" spans="4:7" x14ac:dyDescent="0.25">
      <c r="D40" s="64" t="s">
        <v>127</v>
      </c>
      <c r="E40" s="68">
        <f>E39*0.93</f>
        <v>127.79847753856878</v>
      </c>
      <c r="F40" s="69">
        <f>F39*1.052</f>
        <v>150.70738527024059</v>
      </c>
      <c r="G40" s="70">
        <f>G39*1.001323</f>
        <v>151.44597918387967</v>
      </c>
    </row>
    <row r="41" spans="4:7" x14ac:dyDescent="0.25">
      <c r="D41" s="63" t="s">
        <v>128</v>
      </c>
      <c r="E41" s="68">
        <f>E40*1.12</f>
        <v>143.13429484319704</v>
      </c>
      <c r="F41" s="69">
        <f>F40*0.942354</f>
        <v>142.01970733895232</v>
      </c>
      <c r="G41" s="70">
        <f>G40*0.942</f>
        <v>142.66211239121463</v>
      </c>
    </row>
    <row r="42" spans="4:7" x14ac:dyDescent="0.25">
      <c r="D42" s="64" t="s">
        <v>129</v>
      </c>
      <c r="E42" s="68">
        <f>E41*1.1023</f>
        <v>157.77693320565609</v>
      </c>
      <c r="F42" s="69">
        <f>E42*1.0134141</f>
        <v>159.8933687653701</v>
      </c>
      <c r="G42" s="70">
        <f>G41*1.02</f>
        <v>145.51535463903892</v>
      </c>
    </row>
    <row r="43" spans="4:7" x14ac:dyDescent="0.25">
      <c r="D43" s="63" t="s">
        <v>130</v>
      </c>
      <c r="E43" s="68">
        <f>E42*0.89</f>
        <v>140.42147055303391</v>
      </c>
      <c r="F43" s="69">
        <f>F42*0.98</f>
        <v>156.6955013900627</v>
      </c>
      <c r="G43" s="70">
        <f>G42*1.034</f>
        <v>150.46287669676624</v>
      </c>
    </row>
    <row r="44" spans="4:7" x14ac:dyDescent="0.25">
      <c r="D44" s="64" t="s">
        <v>131</v>
      </c>
      <c r="E44" s="68">
        <f>E43*0.9890132</f>
        <v>138.87868794036186</v>
      </c>
      <c r="F44" s="69">
        <f>E44*0.977752</f>
        <v>135.78891489106468</v>
      </c>
      <c r="G44" s="70">
        <f>G43*1.00199</f>
        <v>150.76229782139279</v>
      </c>
    </row>
    <row r="45" spans="4:7" x14ac:dyDescent="0.25">
      <c r="D45" s="63" t="s">
        <v>132</v>
      </c>
      <c r="E45" s="68">
        <f>E44*0.982324</f>
        <v>136.42386825232802</v>
      </c>
      <c r="F45" s="69">
        <f>F44*1.0994</f>
        <v>149.2863330312365</v>
      </c>
      <c r="G45" s="70">
        <f>G44*1.01234</f>
        <v>152.6227045765088</v>
      </c>
    </row>
    <row r="46" spans="4:7" x14ac:dyDescent="0.25">
      <c r="D46" s="64" t="s">
        <v>133</v>
      </c>
      <c r="E46" s="68">
        <f>E45*1.064</f>
        <v>145.15499582047701</v>
      </c>
      <c r="F46" s="69">
        <f>F45*0.988423</f>
        <v>147.55804515373387</v>
      </c>
      <c r="G46" s="70">
        <f>G45*1.007</f>
        <v>153.69106350854435</v>
      </c>
    </row>
    <row r="47" spans="4:7" x14ac:dyDescent="0.25">
      <c r="D47" s="63" t="s">
        <v>134</v>
      </c>
      <c r="E47" s="68">
        <f>E46*0.984142</f>
        <v>142.85312789675589</v>
      </c>
      <c r="F47" s="69">
        <f>F46*0.9842</f>
        <v>145.22662804030486</v>
      </c>
      <c r="G47" s="70">
        <f>+G46*1.00015</f>
        <v>153.71411716807063</v>
      </c>
    </row>
    <row r="48" spans="4:7" x14ac:dyDescent="0.25">
      <c r="D48" s="64" t="s">
        <v>135</v>
      </c>
      <c r="E48" s="68">
        <f>E47*1.0298923</f>
        <v>147.1233364517841</v>
      </c>
      <c r="F48" s="69">
        <f>F47*1.0331</f>
        <v>150.03362942843893</v>
      </c>
      <c r="G48" s="70">
        <f>G47*0.894</f>
        <v>137.42042074825514</v>
      </c>
    </row>
    <row r="49" spans="4:7" x14ac:dyDescent="0.25">
      <c r="D49" s="63" t="s">
        <v>136</v>
      </c>
      <c r="E49" s="68">
        <f>E48*0.99</f>
        <v>145.65210308726625</v>
      </c>
      <c r="F49" s="69">
        <f>F48*1.1</f>
        <v>165.03699237128282</v>
      </c>
      <c r="G49" s="70">
        <f>G48*0.9576</f>
        <v>131.59379490852913</v>
      </c>
    </row>
    <row r="50" spans="4:7" x14ac:dyDescent="0.25">
      <c r="D50" s="64" t="s">
        <v>137</v>
      </c>
      <c r="E50" s="68">
        <f>E49*1.0776</f>
        <v>156.9547062868381</v>
      </c>
      <c r="F50" s="69">
        <f>F49*0.87742</f>
        <v>144.80675784641096</v>
      </c>
      <c r="G50" s="70">
        <f>G49*0.98874</f>
        <v>130.11204877785909</v>
      </c>
    </row>
    <row r="51" spans="4:7" x14ac:dyDescent="0.25">
      <c r="D51" s="63" t="s">
        <v>138</v>
      </c>
      <c r="E51" s="68">
        <f>E50*1.012</f>
        <v>158.83816276228015</v>
      </c>
      <c r="F51" s="69">
        <f>F50*1.077</f>
        <v>155.95687820058461</v>
      </c>
      <c r="G51" s="70">
        <f>G50*1.02</f>
        <v>132.71428975341627</v>
      </c>
    </row>
    <row r="52" spans="4:7" x14ac:dyDescent="0.25">
      <c r="D52" s="64" t="s">
        <v>139</v>
      </c>
      <c r="E52" s="68">
        <f>E51*1.00089</f>
        <v>158.97952872713859</v>
      </c>
      <c r="F52" s="69">
        <f>F51*1.01344</f>
        <v>158.05293864360044</v>
      </c>
      <c r="G52" s="70">
        <f>G51*1.02</f>
        <v>135.36857554848459</v>
      </c>
    </row>
    <row r="53" spans="4:7" x14ac:dyDescent="0.25">
      <c r="D53" s="63" t="s">
        <v>140</v>
      </c>
      <c r="E53" s="68">
        <f>E52*0.890123</f>
        <v>141.51133504918678</v>
      </c>
      <c r="F53" s="69">
        <f>F52*0.97741</f>
        <v>154.48252275964151</v>
      </c>
      <c r="G53" s="70">
        <f>G52*0.9924</f>
        <v>134.33977437431611</v>
      </c>
    </row>
    <row r="54" spans="4:7" x14ac:dyDescent="0.25">
      <c r="D54" s="64" t="s">
        <v>141</v>
      </c>
      <c r="E54" s="68">
        <f>E53*0.899810003242</f>
        <v>127.33331484938851</v>
      </c>
      <c r="F54" s="69">
        <f>F53*0.9424</f>
        <v>145.58432944868616</v>
      </c>
      <c r="G54" s="70">
        <f>G53*0.9874</f>
        <v>132.64709321719974</v>
      </c>
    </row>
    <row r="55" spans="4:7" x14ac:dyDescent="0.25">
      <c r="D55" s="63" t="s">
        <v>142</v>
      </c>
      <c r="E55" s="68">
        <f>E54*0.9883</f>
        <v>125.84351506565066</v>
      </c>
      <c r="F55" s="69">
        <f>F54*1.0213</f>
        <v>148.68527566594318</v>
      </c>
      <c r="G55" s="70">
        <f>G54*1.12</f>
        <v>148.56474440326372</v>
      </c>
    </row>
    <row r="56" spans="4:7" x14ac:dyDescent="0.25">
      <c r="D56" s="64" t="s">
        <v>143</v>
      </c>
      <c r="E56" s="68">
        <f>E55*0.9842</f>
        <v>123.85518752761338</v>
      </c>
      <c r="F56" s="69">
        <f>F55*0.988</f>
        <v>146.90105235795187</v>
      </c>
      <c r="G56" s="70">
        <f>G49*0.93</f>
        <v>122.38222926493211</v>
      </c>
    </row>
    <row r="57" spans="4:7" x14ac:dyDescent="0.25">
      <c r="D57" s="63" t="s">
        <v>144</v>
      </c>
      <c r="E57" s="68">
        <f>E56*1.042</f>
        <v>129.05710540377314</v>
      </c>
      <c r="F57" s="69">
        <f>F56*0.9312</f>
        <v>136.79425995572478</v>
      </c>
      <c r="G57" s="70">
        <f>G53*0.994131</f>
        <v>133.55133423851325</v>
      </c>
    </row>
    <row r="58" spans="4:7" x14ac:dyDescent="0.25">
      <c r="D58" s="64" t="s">
        <v>145</v>
      </c>
      <c r="E58" s="68">
        <f>E57*0.989</f>
        <v>127.63747724433163</v>
      </c>
      <c r="F58" s="69">
        <f>F57*0.99</f>
        <v>135.42631735616754</v>
      </c>
      <c r="G58" s="70">
        <f>G57*1.0342</f>
        <v>138.11878986947039</v>
      </c>
    </row>
    <row r="59" spans="4:7" x14ac:dyDescent="0.25">
      <c r="D59" s="63" t="s">
        <v>146</v>
      </c>
      <c r="E59" s="68">
        <f>E58*0.9931</f>
        <v>126.75677865134574</v>
      </c>
      <c r="F59" s="69">
        <f>F58*1.033</f>
        <v>139.89538582892106</v>
      </c>
      <c r="G59" s="70">
        <f>G58*0.974</f>
        <v>134.52770133286415</v>
      </c>
    </row>
    <row r="60" spans="4:7" x14ac:dyDescent="0.25">
      <c r="D60" s="64" t="s">
        <v>147</v>
      </c>
      <c r="E60" s="68">
        <f>E59*0.99244</f>
        <v>125.79849740474157</v>
      </c>
      <c r="F60" s="69">
        <f>F59*1.0003</f>
        <v>139.93735444466972</v>
      </c>
      <c r="G60" s="70">
        <f>G59*1.01112</f>
        <v>136.02364937168559</v>
      </c>
    </row>
    <row r="61" spans="4:7" x14ac:dyDescent="0.25">
      <c r="D61" s="63" t="s">
        <v>148</v>
      </c>
      <c r="E61" s="68">
        <f>E60*1.12</f>
        <v>140.89431709331058</v>
      </c>
      <c r="F61" s="69">
        <f>F57</f>
        <v>136.79425995572478</v>
      </c>
      <c r="G61" s="70">
        <f>G60</f>
        <v>136.02364937168559</v>
      </c>
    </row>
    <row r="62" spans="4:7" x14ac:dyDescent="0.25">
      <c r="D62" s="64" t="s">
        <v>149</v>
      </c>
      <c r="E62" s="68">
        <f>E61*1.0142</f>
        <v>142.89501639603557</v>
      </c>
      <c r="F62" s="69">
        <f>F61*0.9841</f>
        <v>134.61923122242877</v>
      </c>
      <c r="G62" s="70">
        <f>G61*0.9824</f>
        <v>133.62963314274393</v>
      </c>
    </row>
    <row r="63" spans="4:7" x14ac:dyDescent="0.25">
      <c r="D63" s="63" t="s">
        <v>150</v>
      </c>
      <c r="E63" s="68">
        <f>E62*1.01412</f>
        <v>144.91269402754759</v>
      </c>
      <c r="F63" s="69">
        <f>F62*0.99</f>
        <v>133.27303891020449</v>
      </c>
      <c r="G63" s="70">
        <f>G62*1.02</f>
        <v>136.30222580559879</v>
      </c>
    </row>
    <row r="64" spans="4:7" x14ac:dyDescent="0.25">
      <c r="D64" s="64" t="s">
        <v>151</v>
      </c>
      <c r="E64" s="68">
        <f>E63*0.99314</f>
        <v>143.9185929465186</v>
      </c>
      <c r="F64" s="69">
        <f>F63*1.02</f>
        <v>135.93849968840857</v>
      </c>
      <c r="G64" s="70">
        <f>G63*1.02</f>
        <v>139.02827032171078</v>
      </c>
    </row>
    <row r="65" spans="4:9" x14ac:dyDescent="0.25">
      <c r="D65" s="63" t="s">
        <v>152</v>
      </c>
      <c r="E65" s="68">
        <f>E64*1.043242</f>
        <v>150.14192074271196</v>
      </c>
      <c r="F65" s="69">
        <f>F64*0.99</f>
        <v>134.5791146915245</v>
      </c>
      <c r="G65" s="70">
        <f>G64*0.99</f>
        <v>137.63798761849367</v>
      </c>
    </row>
    <row r="66" spans="4:9" x14ac:dyDescent="0.25">
      <c r="D66" s="64" t="s">
        <v>153</v>
      </c>
      <c r="E66" s="68">
        <f>E65*0.9741</f>
        <v>146.25324499547571</v>
      </c>
      <c r="F66" s="69">
        <f>F65*0.9923</f>
        <v>133.54285550839975</v>
      </c>
      <c r="G66" s="70">
        <f>G65*0.9898</f>
        <v>136.23408014478503</v>
      </c>
      <c r="I66" s="71"/>
    </row>
    <row r="67" spans="4:9" x14ac:dyDescent="0.25">
      <c r="D67" s="63" t="s">
        <v>154</v>
      </c>
      <c r="E67" s="68">
        <f>E66*0.99412</f>
        <v>145.39327591490232</v>
      </c>
      <c r="F67" s="69">
        <f>F66*1.11</f>
        <v>148.23256961432375</v>
      </c>
      <c r="G67" s="70">
        <f>G58*0.974</f>
        <v>134.52770133286415</v>
      </c>
    </row>
    <row r="68" spans="4:9" x14ac:dyDescent="0.25">
      <c r="D68" s="64" t="s">
        <v>155</v>
      </c>
      <c r="E68" s="68">
        <f>E67*0.9952</f>
        <v>144.69538819051078</v>
      </c>
      <c r="F68" s="69">
        <f>F67*0.987</f>
        <v>146.30554620933754</v>
      </c>
      <c r="G68" s="70">
        <f>G67*1.33199</f>
        <v>179.18955289836174</v>
      </c>
    </row>
    <row r="69" spans="4:9" x14ac:dyDescent="0.25">
      <c r="D69" s="63" t="s">
        <v>156</v>
      </c>
      <c r="E69" s="68">
        <f>E68*1.3377</f>
        <v>193.55902078244625</v>
      </c>
      <c r="F69" s="69">
        <f>F68*1.3377</f>
        <v>195.71292916423081</v>
      </c>
      <c r="G69" s="70">
        <f>G68*0.3876</f>
        <v>69.453870703405016</v>
      </c>
    </row>
    <row r="70" spans="4:9" x14ac:dyDescent="0.25">
      <c r="D70" s="62"/>
      <c r="E70" s="72"/>
      <c r="F70" s="73"/>
      <c r="G70" s="74"/>
    </row>
    <row r="76" spans="4:9" x14ac:dyDescent="0.25">
      <c r="D76" s="1"/>
      <c r="E76" s="1"/>
      <c r="F76" s="1"/>
      <c r="G76" s="1"/>
    </row>
    <row r="77" spans="4:9" x14ac:dyDescent="0.25">
      <c r="D77" s="61"/>
    </row>
    <row r="78" spans="4:9" x14ac:dyDescent="0.25">
      <c r="D78" s="1"/>
    </row>
    <row r="79" spans="4:9" x14ac:dyDescent="0.25">
      <c r="D79" s="61"/>
    </row>
    <row r="80" spans="4:9" x14ac:dyDescent="0.25">
      <c r="D80" s="1"/>
    </row>
    <row r="81" spans="4:4" x14ac:dyDescent="0.25">
      <c r="D81" s="61"/>
    </row>
    <row r="82" spans="4:4" x14ac:dyDescent="0.25">
      <c r="D82" s="1"/>
    </row>
    <row r="83" spans="4:4" x14ac:dyDescent="0.25">
      <c r="D83" s="61"/>
    </row>
    <row r="84" spans="4:4" x14ac:dyDescent="0.25">
      <c r="D84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B3:O38"/>
  <sheetViews>
    <sheetView tabSelected="1" workbookViewId="0">
      <selection activeCell="N25" sqref="N25"/>
    </sheetView>
  </sheetViews>
  <sheetFormatPr defaultRowHeight="15" x14ac:dyDescent="0.25"/>
  <sheetData>
    <row r="3" spans="2:15" x14ac:dyDescent="0.25">
      <c r="E3" t="s">
        <v>14</v>
      </c>
    </row>
    <row r="4" spans="2:15" x14ac:dyDescent="0.25">
      <c r="B4" s="38" t="s">
        <v>34</v>
      </c>
      <c r="C4" s="38"/>
    </row>
    <row r="5" spans="2:15" x14ac:dyDescent="0.25">
      <c r="B5" s="38" t="s">
        <v>35</v>
      </c>
      <c r="C5" s="38"/>
    </row>
    <row r="6" spans="2:15" x14ac:dyDescent="0.25">
      <c r="E6" t="s">
        <v>15</v>
      </c>
    </row>
    <row r="7" spans="2:15" x14ac:dyDescent="0.25">
      <c r="E7" t="s">
        <v>16</v>
      </c>
    </row>
    <row r="8" spans="2:15" x14ac:dyDescent="0.25">
      <c r="E8" t="s">
        <v>17</v>
      </c>
    </row>
    <row r="9" spans="2:15" x14ac:dyDescent="0.25">
      <c r="G9" t="s">
        <v>18</v>
      </c>
      <c r="H9" s="41">
        <f>'Base dos dados '!B59*1.07531</f>
        <v>340546.10474140011</v>
      </c>
      <c r="J9" t="s">
        <v>19</v>
      </c>
    </row>
    <row r="11" spans="2:15" x14ac:dyDescent="0.25">
      <c r="G11" t="s">
        <v>20</v>
      </c>
      <c r="H11" s="41">
        <f>'Base dos dados '!H45*1.0357</f>
        <v>367016.07741794933</v>
      </c>
      <c r="J11" t="s">
        <v>21</v>
      </c>
    </row>
    <row r="13" spans="2:15" x14ac:dyDescent="0.25">
      <c r="E13" t="s">
        <v>22</v>
      </c>
    </row>
    <row r="14" spans="2:15" x14ac:dyDescent="0.25">
      <c r="E14" t="s">
        <v>62</v>
      </c>
      <c r="L14" s="41">
        <f>'Base dos dados '!H14*1.773355</f>
        <v>283333.69954946515</v>
      </c>
    </row>
    <row r="15" spans="2:15" x14ac:dyDescent="0.25">
      <c r="E15" t="s">
        <v>23</v>
      </c>
      <c r="O15" s="41">
        <f>'Base dos dados '!B18*1.33557799</f>
        <v>252727.37252093121</v>
      </c>
    </row>
    <row r="16" spans="2:15" x14ac:dyDescent="0.25">
      <c r="E16" t="s">
        <v>24</v>
      </c>
    </row>
    <row r="17" spans="2:11" x14ac:dyDescent="0.25">
      <c r="E17" t="s">
        <v>25</v>
      </c>
    </row>
    <row r="18" spans="2:11" x14ac:dyDescent="0.25">
      <c r="E18" t="s">
        <v>36</v>
      </c>
    </row>
    <row r="20" spans="2:11" x14ac:dyDescent="0.25">
      <c r="B20" s="38" t="s">
        <v>37</v>
      </c>
      <c r="C20" s="38"/>
    </row>
    <row r="21" spans="2:11" x14ac:dyDescent="0.25">
      <c r="B21" s="38" t="s">
        <v>38</v>
      </c>
      <c r="C21" s="38"/>
    </row>
    <row r="22" spans="2:11" x14ac:dyDescent="0.25">
      <c r="E22" t="s">
        <v>39</v>
      </c>
      <c r="F22" t="s">
        <v>56</v>
      </c>
    </row>
    <row r="23" spans="2:11" x14ac:dyDescent="0.25">
      <c r="F23" t="s">
        <v>57</v>
      </c>
    </row>
    <row r="24" spans="2:11" x14ac:dyDescent="0.25">
      <c r="F24" t="s">
        <v>58</v>
      </c>
    </row>
    <row r="27" spans="2:11" x14ac:dyDescent="0.25">
      <c r="B27" s="38" t="s">
        <v>96</v>
      </c>
      <c r="C27" s="38"/>
      <c r="E27" s="51"/>
      <c r="F27" t="s">
        <v>90</v>
      </c>
    </row>
    <row r="28" spans="2:11" x14ac:dyDescent="0.25">
      <c r="B28" s="38" t="s">
        <v>97</v>
      </c>
      <c r="C28" s="38"/>
      <c r="F28" t="s">
        <v>91</v>
      </c>
    </row>
    <row r="30" spans="2:11" x14ac:dyDescent="0.25">
      <c r="F30" t="s">
        <v>92</v>
      </c>
    </row>
    <row r="31" spans="2:11" x14ac:dyDescent="0.25">
      <c r="K31" t="s">
        <v>93</v>
      </c>
    </row>
    <row r="33" spans="2:6" x14ac:dyDescent="0.25">
      <c r="B33" s="38" t="s">
        <v>103</v>
      </c>
      <c r="C33" s="38"/>
      <c r="D33" s="10">
        <v>1</v>
      </c>
      <c r="F33" t="s">
        <v>105</v>
      </c>
    </row>
    <row r="34" spans="2:6" x14ac:dyDescent="0.25">
      <c r="B34" s="38" t="s">
        <v>104</v>
      </c>
      <c r="C34" s="38"/>
      <c r="F34" t="s">
        <v>106</v>
      </c>
    </row>
    <row r="37" spans="2:6" x14ac:dyDescent="0.25">
      <c r="B37" s="38" t="s">
        <v>157</v>
      </c>
      <c r="C37" s="38"/>
      <c r="F37" t="s">
        <v>159</v>
      </c>
    </row>
    <row r="38" spans="2:6" x14ac:dyDescent="0.25">
      <c r="B38" s="38" t="s">
        <v>158</v>
      </c>
      <c r="C38" s="38"/>
      <c r="D38" s="10">
        <v>2</v>
      </c>
      <c r="F38" t="s">
        <v>160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D4:P24"/>
  <sheetViews>
    <sheetView workbookViewId="0">
      <selection activeCell="I30" sqref="I30"/>
    </sheetView>
  </sheetViews>
  <sheetFormatPr defaultRowHeight="15" x14ac:dyDescent="0.25"/>
  <sheetData>
    <row r="4" spans="5:16" x14ac:dyDescent="0.25">
      <c r="F4" s="39" t="s">
        <v>9</v>
      </c>
      <c r="G4" s="39"/>
    </row>
    <row r="5" spans="5:16" x14ac:dyDescent="0.25">
      <c r="F5" t="s">
        <v>10</v>
      </c>
    </row>
    <row r="6" spans="5:16" ht="23.25" x14ac:dyDescent="0.35">
      <c r="E6" s="50"/>
      <c r="F6" s="9" t="s">
        <v>11</v>
      </c>
      <c r="G6" s="10"/>
      <c r="H6" s="10"/>
      <c r="I6" s="10"/>
      <c r="J6" s="10"/>
      <c r="K6" s="56" t="s">
        <v>12</v>
      </c>
      <c r="L6" s="56"/>
      <c r="M6" s="56"/>
      <c r="N6" s="56"/>
      <c r="O6" s="56"/>
    </row>
    <row r="7" spans="5:16" ht="23.25" x14ac:dyDescent="0.35">
      <c r="E7" s="50"/>
      <c r="F7" s="9" t="s">
        <v>13</v>
      </c>
      <c r="G7" s="10"/>
      <c r="H7" s="10"/>
      <c r="I7" s="10"/>
      <c r="J7" s="10"/>
      <c r="K7" s="10"/>
      <c r="L7" s="10"/>
    </row>
    <row r="9" spans="5:16" x14ac:dyDescent="0.25">
      <c r="F9" s="57" t="s">
        <v>162</v>
      </c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5:16" x14ac:dyDescent="0.25">
      <c r="F10" s="57" t="s">
        <v>7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</row>
    <row r="11" spans="5:16" x14ac:dyDescent="0.25">
      <c r="F11" s="57" t="s">
        <v>8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3" spans="5:16" x14ac:dyDescent="0.25">
      <c r="F13" t="s">
        <v>0</v>
      </c>
    </row>
    <row r="15" spans="5:16" x14ac:dyDescent="0.25">
      <c r="F15" t="s">
        <v>40</v>
      </c>
    </row>
    <row r="17" spans="4:11" x14ac:dyDescent="0.25">
      <c r="F17" t="s">
        <v>61</v>
      </c>
    </row>
    <row r="19" spans="4:11" x14ac:dyDescent="0.25">
      <c r="G19" t="s">
        <v>63</v>
      </c>
    </row>
    <row r="21" spans="4:11" x14ac:dyDescent="0.25">
      <c r="D21" s="58"/>
      <c r="E21" s="11" t="s">
        <v>99</v>
      </c>
      <c r="F21" s="12"/>
      <c r="G21" s="12"/>
      <c r="H21" s="12"/>
      <c r="I21" s="12"/>
      <c r="J21" s="13"/>
      <c r="K21" s="58"/>
    </row>
    <row r="22" spans="4:11" x14ac:dyDescent="0.25">
      <c r="D22" s="58"/>
      <c r="E22" s="29" t="s">
        <v>100</v>
      </c>
      <c r="F22" s="30"/>
      <c r="G22" s="11" t="s">
        <v>101</v>
      </c>
      <c r="H22" s="12"/>
      <c r="I22" s="12"/>
      <c r="J22" s="13"/>
      <c r="K22" s="58"/>
    </row>
    <row r="23" spans="4:11" x14ac:dyDescent="0.25">
      <c r="D23" s="58"/>
      <c r="E23" s="29"/>
      <c r="F23" s="30"/>
      <c r="G23" s="27" t="s">
        <v>102</v>
      </c>
      <c r="H23" s="28"/>
      <c r="I23" s="28"/>
      <c r="J23" s="14"/>
      <c r="K23" s="58"/>
    </row>
    <row r="24" spans="4:11" x14ac:dyDescent="0.25">
      <c r="D24" s="58"/>
      <c r="E24" s="27"/>
      <c r="F24" s="28"/>
      <c r="G24" s="28"/>
      <c r="H24" s="28"/>
      <c r="I24" s="28"/>
      <c r="J24" s="14"/>
      <c r="K24" s="5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dos dados </vt:lpstr>
      <vt:lpstr>Sheet1</vt:lpstr>
      <vt:lpstr>parte 2 planilha</vt:lpstr>
      <vt:lpstr>parte 3 final</vt:lpstr>
      <vt:lpstr>Base teorico para resposta</vt:lpstr>
      <vt:lpstr>como entregar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Francisco</dc:creator>
  <cp:lastModifiedBy>José Diniz</cp:lastModifiedBy>
  <dcterms:created xsi:type="dcterms:W3CDTF">2018-04-01T14:28:38Z</dcterms:created>
  <dcterms:modified xsi:type="dcterms:W3CDTF">2018-04-11T01:37:02Z</dcterms:modified>
</cp:coreProperties>
</file>