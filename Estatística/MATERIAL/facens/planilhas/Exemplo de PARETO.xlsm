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/>
  <bookViews>
    <workbookView xWindow="-30" yWindow="1125" windowWidth="11970" windowHeight="6585" tabRatio="908" activeTab="1"/>
  </bookViews>
  <sheets>
    <sheet name="Pareto" sheetId="16525" r:id="rId1"/>
    <sheet name="Estratificação" sheetId="2088" r:id="rId2"/>
  </sheets>
  <externalReferences>
    <externalReference r:id="rId3"/>
  </externalReferences>
  <definedNames>
    <definedName name="_xlnm.Print_Area" localSheetId="1">Estratificação!$A$1:$F$25</definedName>
  </definedNames>
  <calcPr calcId="145621"/>
</workbook>
</file>

<file path=xl/calcChain.xml><?xml version="1.0" encoding="utf-8"?>
<calcChain xmlns="http://schemas.openxmlformats.org/spreadsheetml/2006/main">
  <c r="C23" i="2088" l="1"/>
  <c r="E16" i="2088" s="1"/>
  <c r="E14" i="2088"/>
  <c r="E20" i="2088"/>
  <c r="E19" i="2088" l="1"/>
  <c r="E15" i="2088"/>
  <c r="E21" i="2088"/>
  <c r="E13" i="2088"/>
  <c r="E22" i="2088"/>
  <c r="E17" i="2088"/>
  <c r="E18" i="2088"/>
  <c r="E23" i="2088" l="1"/>
  <c r="D13" i="2088"/>
  <c r="D14" i="2088" s="1"/>
  <c r="D15" i="2088" s="1"/>
  <c r="D16" i="2088" s="1"/>
  <c r="D17" i="2088" s="1"/>
  <c r="D18" i="2088" s="1"/>
  <c r="D19" i="2088" s="1"/>
  <c r="D20" i="2088" s="1"/>
  <c r="D21" i="2088" s="1"/>
  <c r="D22" i="2088" s="1"/>
</calcChain>
</file>

<file path=xl/sharedStrings.xml><?xml version="1.0" encoding="utf-8"?>
<sst xmlns="http://schemas.openxmlformats.org/spreadsheetml/2006/main" count="7" uniqueCount="7">
  <si>
    <t>Total</t>
  </si>
  <si>
    <t>% Acumulado</t>
  </si>
  <si>
    <t>Pareto do Problema:</t>
  </si>
  <si>
    <t>Tópicos de estratificação</t>
  </si>
  <si>
    <t>Valor Associado</t>
  </si>
  <si>
    <t>% Unitário</t>
  </si>
  <si>
    <t>Análise do Fenômeno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</si>
</sst>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00"/>
  </numFmts>
  <fonts count="8" x14ac:knownFonts="1">
    <font>
      <sz val="10"/>
      <name val="Arial"/>
    </font>
    <font>
      <sz val="10"/>
      <name val="Arial"/>
    </font>
    <font>
      <sz val="10"/>
      <name val="Times New Roman"/>
      <family val="1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3" fillId="2" borderId="1" xfId="0" applyFont="1" applyFill="1" applyBorder="1"/>
    <xf numFmtId="0" fontId="4" fillId="3" borderId="0" xfId="0" applyFont="1" applyFill="1"/>
    <xf numFmtId="0" fontId="3" fillId="0" borderId="0" xfId="0" applyFont="1"/>
    <xf numFmtId="9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9" fontId="3" fillId="2" borderId="1" xfId="1" applyFont="1" applyFill="1" applyBorder="1" applyAlignment="1">
      <alignment horizontal="center"/>
    </xf>
    <xf numFmtId="167" fontId="0" fillId="0" borderId="0" xfId="0" applyNumberFormat="1" applyAlignment="1" applyProtection="1">
      <alignment horizontal="center"/>
      <protection locked="0"/>
    </xf>
    <xf numFmtId="2" fontId="3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7" fillId="0" borderId="2" xfId="0" applyFont="1" applyBorder="1" applyAlignment="1">
      <alignment horizontal="left" vertical="center"/>
    </xf>
    <xf numFmtId="0" fontId="6" fillId="0" borderId="0" xfId="0" applyFont="1" applyBorder="1"/>
    <xf numFmtId="0" fontId="5" fillId="4" borderId="3" xfId="0" applyFont="1" applyFill="1" applyBorder="1"/>
    <xf numFmtId="0" fontId="5" fillId="4" borderId="3" xfId="0" applyFont="1" applyFill="1" applyBorder="1" applyAlignment="1">
      <alignment horizontal="center"/>
    </xf>
    <xf numFmtId="49" fontId="0" fillId="0" borderId="0" xfId="0" applyNumberFormat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top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Inserir Aqui o Título do Gráfico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6190476190478"/>
          <c:y val="9.0909090909090939E-2"/>
          <c:w val="0.83386243386243386"/>
          <c:h val="0.86531986531986538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/>
          </c:dPt>
          <c:dPt>
            <c:idx val="1"/>
            <c:invertIfNegative val="0"/>
            <c:bubble3D val="0"/>
            <c:spPr/>
          </c:dPt>
          <c:dPt>
            <c:idx val="2"/>
            <c:invertIfNegative val="0"/>
            <c:bubble3D val="0"/>
            <c:spPr/>
          </c:dPt>
          <c:dPt>
            <c:idx val="3"/>
            <c:invertIfNegative val="0"/>
            <c:bubble3D val="0"/>
            <c:spPr/>
          </c:dPt>
          <c:dPt>
            <c:idx val="4"/>
            <c:invertIfNegative val="0"/>
            <c:bubble3D val="0"/>
            <c:spPr/>
          </c:dPt>
          <c:dPt>
            <c:idx val="5"/>
            <c:invertIfNegative val="0"/>
            <c:bubble3D val="0"/>
            <c:spPr/>
          </c:dPt>
          <c:dPt>
            <c:idx val="6"/>
            <c:invertIfNegative val="0"/>
            <c:bubble3D val="0"/>
            <c:spPr/>
          </c:dPt>
          <c:dPt>
            <c:idx val="7"/>
            <c:invertIfNegative val="0"/>
            <c:bubble3D val="0"/>
            <c:spPr/>
          </c:dPt>
          <c:dPt>
            <c:idx val="8"/>
            <c:invertIfNegative val="0"/>
            <c:bubble3D val="0"/>
            <c:spPr/>
          </c:dPt>
          <c:dPt>
            <c:idx val="9"/>
            <c:invertIfNegative val="0"/>
            <c:bubble3D val="0"/>
            <c:spPr/>
          </c:dPt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 algn="ctr">
                  <a:defRPr sz="12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Estratificação!$B$13:$B$22</c:f>
              <c:numCache>
                <c:formatCode>@</c:formatCode>
                <c:ptCount val="10"/>
              </c:numCache>
            </c:numRef>
          </c:cat>
          <c:val>
            <c:numRef>
              <c:f>Estratificação!$C$13:$C$22</c:f>
              <c:numCache>
                <c:formatCode>0.000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401536"/>
        <c:axId val="100403072"/>
      </c:barChart>
      <c:lineChart>
        <c:grouping val="standard"/>
        <c:varyColors val="0"/>
        <c:ser>
          <c:idx val="1"/>
          <c:order val="1"/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Estratificação!$B$13:$B$22</c:f>
              <c:numCache>
                <c:formatCode>@</c:formatCode>
                <c:ptCount val="10"/>
              </c:numCache>
            </c:numRef>
          </c:cat>
          <c:val>
            <c:numRef>
              <c:f>Estratificação!$D$13:$D$22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09344"/>
        <c:axId val="100410880"/>
      </c:lineChart>
      <c:catAx>
        <c:axId val="100401536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100403072"/>
        <c:crosses val="autoZero"/>
        <c:auto val="1"/>
        <c:lblAlgn val="ctr"/>
        <c:lblOffset val="100"/>
        <c:noMultiLvlLbl val="0"/>
      </c:catAx>
      <c:valAx>
        <c:axId val="100403072"/>
        <c:scaling>
          <c:orientation val="minMax"/>
          <c:max val="41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Inserir aqui o nome do eixo e a unidade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100401536"/>
        <c:crosses val="autoZero"/>
        <c:crossBetween val="between"/>
      </c:valAx>
      <c:catAx>
        <c:axId val="100409344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one"/>
        <c:crossAx val="100410880"/>
        <c:crosses val="autoZero"/>
        <c:auto val="1"/>
        <c:lblAlgn val="ctr"/>
        <c:lblOffset val="100"/>
        <c:noMultiLvlLbl val="0"/>
      </c:catAx>
      <c:valAx>
        <c:axId val="100410880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crossAx val="1004093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2948" cy="6027761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592666</xdr:colOff>
      <xdr:row>7</xdr:row>
      <xdr:rowOff>127000</xdr:rowOff>
    </xdr:from>
    <xdr:to>
      <xdr:col>4</xdr:col>
      <xdr:colOff>697441</xdr:colOff>
      <xdr:row>9</xdr:row>
      <xdr:rowOff>73025</xdr:rowOff>
    </xdr:to>
    <xdr:sp macro="[0]!Pareto" textlink="">
      <xdr:nvSpPr>
        <xdr:cNvPr id="4098" name="Text Box 2"/>
        <xdr:cNvSpPr txBox="1">
          <a:spLocks noChangeArrowheads="1"/>
        </xdr:cNvSpPr>
      </xdr:nvSpPr>
      <xdr:spPr bwMode="auto">
        <a:xfrm>
          <a:off x="5249333" y="1301750"/>
          <a:ext cx="1025525" cy="263525"/>
        </a:xfrm>
        <a:prstGeom prst="rect">
          <a:avLst/>
        </a:prstGeom>
        <a:solidFill>
          <a:srgbClr val="C0C0C0"/>
        </a:solidFill>
        <a:ln w="9525">
          <a:solidFill>
            <a:srgbClr val="969696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Criar Pareto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tpereira\CONFIG~1\Temp\notes4AF6AD\PDCA%20Simplificado%20Refug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dentificação"/>
      <sheetName val="Análise das Causas A"/>
      <sheetName val="GUT A"/>
      <sheetName val="5 PQs A"/>
      <sheetName val="p_ação_3G"/>
      <sheetName val="Check"/>
    </sheetNames>
    <sheetDataSet>
      <sheetData sheetId="0"/>
      <sheetData sheetId="1">
        <row r="12">
          <cell r="C12" t="str">
            <v>Jan</v>
          </cell>
          <cell r="D12" t="str">
            <v>Fev</v>
          </cell>
          <cell r="E12" t="str">
            <v>Mar</v>
          </cell>
          <cell r="F12" t="str">
            <v>Abr</v>
          </cell>
          <cell r="G12" t="str">
            <v>Mai</v>
          </cell>
          <cell r="H12" t="str">
            <v>Jun</v>
          </cell>
          <cell r="I12" t="str">
            <v>Jul</v>
          </cell>
          <cell r="J12" t="str">
            <v>Ago</v>
          </cell>
          <cell r="K12" t="str">
            <v>Set</v>
          </cell>
          <cell r="L12" t="str">
            <v>Out</v>
          </cell>
          <cell r="M12" t="str">
            <v>Nov</v>
          </cell>
          <cell r="N12" t="str">
            <v>Dez</v>
          </cell>
          <cell r="O12" t="str">
            <v>Meta Acum.</v>
          </cell>
          <cell r="P12" t="str">
            <v>Real Acum.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B1:T24"/>
  <sheetViews>
    <sheetView showGridLines="0" tabSelected="1" zoomScale="90" workbookViewId="0">
      <selection activeCell="B5" sqref="B5:E7"/>
    </sheetView>
  </sheetViews>
  <sheetFormatPr defaultRowHeight="12.75" x14ac:dyDescent="0.2"/>
  <cols>
    <col min="1" max="1" width="1.28515625" customWidth="1"/>
    <col min="2" max="2" width="49.85546875" customWidth="1"/>
    <col min="3" max="3" width="18.7109375" customWidth="1"/>
    <col min="4" max="4" width="13.85546875" customWidth="1"/>
    <col min="5" max="5" width="13.42578125" customWidth="1"/>
  </cols>
  <sheetData>
    <row r="1" spans="2:20" ht="13.5" thickBot="1" x14ac:dyDescent="0.25"/>
    <row r="2" spans="2:20" s="10" customFormat="1" ht="16.5" thickBot="1" x14ac:dyDescent="0.25">
      <c r="B2" s="11" t="s">
        <v>6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R2" s="12"/>
      <c r="S2" s="12"/>
      <c r="T2" s="12"/>
    </row>
    <row r="4" spans="2:20" x14ac:dyDescent="0.2">
      <c r="B4" s="3" t="s">
        <v>2</v>
      </c>
    </row>
    <row r="5" spans="2:20" x14ac:dyDescent="0.2">
      <c r="B5" s="16"/>
      <c r="C5" s="16"/>
      <c r="D5" s="16"/>
      <c r="E5" s="16"/>
    </row>
    <row r="6" spans="2:20" x14ac:dyDescent="0.2">
      <c r="B6" s="16"/>
      <c r="C6" s="16"/>
      <c r="D6" s="16"/>
      <c r="E6" s="16"/>
    </row>
    <row r="7" spans="2:20" x14ac:dyDescent="0.2">
      <c r="B7" s="16"/>
      <c r="C7" s="16"/>
      <c r="D7" s="16"/>
      <c r="E7" s="16"/>
    </row>
    <row r="12" spans="2:20" ht="13.5" thickBot="1" x14ac:dyDescent="0.25">
      <c r="B12" s="13" t="s">
        <v>3</v>
      </c>
      <c r="C12" s="14" t="s">
        <v>4</v>
      </c>
      <c r="D12" s="14" t="s">
        <v>1</v>
      </c>
      <c r="E12" s="14" t="s">
        <v>5</v>
      </c>
    </row>
    <row r="13" spans="2:20" ht="13.5" thickTop="1" x14ac:dyDescent="0.2">
      <c r="B13" s="15"/>
      <c r="C13" s="8"/>
      <c r="D13" s="5" t="str">
        <f>E13</f>
        <v>0%</v>
      </c>
      <c r="E13" s="5" t="str">
        <f>IF(ISERR(C13/$C$23),"0%",C13/$C$23)</f>
        <v>0%</v>
      </c>
    </row>
    <row r="14" spans="2:20" x14ac:dyDescent="0.2">
      <c r="B14" s="15"/>
      <c r="C14" s="8"/>
      <c r="D14" s="4">
        <f>D13+E14</f>
        <v>0</v>
      </c>
      <c r="E14" s="5" t="str">
        <f t="shared" ref="E14:E22" si="0">IF(ISERR(C14/$C$23),"0%",C14/$C$23)</f>
        <v>0%</v>
      </c>
    </row>
    <row r="15" spans="2:20" x14ac:dyDescent="0.2">
      <c r="B15" s="15"/>
      <c r="C15" s="8"/>
      <c r="D15" s="4">
        <f t="shared" ref="D15:D22" si="1">D14+E15</f>
        <v>0</v>
      </c>
      <c r="E15" s="5" t="str">
        <f t="shared" si="0"/>
        <v>0%</v>
      </c>
    </row>
    <row r="16" spans="2:20" x14ac:dyDescent="0.2">
      <c r="B16" s="15"/>
      <c r="C16" s="8"/>
      <c r="D16" s="4">
        <f t="shared" si="1"/>
        <v>0</v>
      </c>
      <c r="E16" s="5" t="str">
        <f t="shared" si="0"/>
        <v>0%</v>
      </c>
    </row>
    <row r="17" spans="2:5" x14ac:dyDescent="0.2">
      <c r="B17" s="15"/>
      <c r="C17" s="8"/>
      <c r="D17" s="4">
        <f t="shared" si="1"/>
        <v>0</v>
      </c>
      <c r="E17" s="5" t="str">
        <f t="shared" si="0"/>
        <v>0%</v>
      </c>
    </row>
    <row r="18" spans="2:5" x14ac:dyDescent="0.2">
      <c r="B18" s="15"/>
      <c r="C18" s="8"/>
      <c r="D18" s="4">
        <f t="shared" si="1"/>
        <v>0</v>
      </c>
      <c r="E18" s="5" t="str">
        <f t="shared" si="0"/>
        <v>0%</v>
      </c>
    </row>
    <row r="19" spans="2:5" x14ac:dyDescent="0.2">
      <c r="B19" s="15"/>
      <c r="C19" s="8"/>
      <c r="D19" s="4">
        <f t="shared" si="1"/>
        <v>0</v>
      </c>
      <c r="E19" s="5" t="str">
        <f t="shared" si="0"/>
        <v>0%</v>
      </c>
    </row>
    <row r="20" spans="2:5" x14ac:dyDescent="0.2">
      <c r="B20" s="15"/>
      <c r="C20" s="8"/>
      <c r="D20" s="4">
        <f t="shared" si="1"/>
        <v>0</v>
      </c>
      <c r="E20" s="5" t="str">
        <f t="shared" si="0"/>
        <v>0%</v>
      </c>
    </row>
    <row r="21" spans="2:5" x14ac:dyDescent="0.2">
      <c r="B21" s="15"/>
      <c r="C21" s="8"/>
      <c r="D21" s="4">
        <f t="shared" si="1"/>
        <v>0</v>
      </c>
      <c r="E21" s="5" t="str">
        <f t="shared" si="0"/>
        <v>0%</v>
      </c>
    </row>
    <row r="22" spans="2:5" x14ac:dyDescent="0.2">
      <c r="B22" s="15"/>
      <c r="C22" s="8"/>
      <c r="D22" s="4">
        <f t="shared" si="1"/>
        <v>0</v>
      </c>
      <c r="E22" s="5" t="str">
        <f t="shared" si="0"/>
        <v>0%</v>
      </c>
    </row>
    <row r="23" spans="2:5" ht="13.5" thickBot="1" x14ac:dyDescent="0.25">
      <c r="B23" s="1" t="s">
        <v>0</v>
      </c>
      <c r="C23" s="9">
        <f>SUM(C13:C22)</f>
        <v>0</v>
      </c>
      <c r="D23" s="6"/>
      <c r="E23" s="7">
        <f>SUM(E13:E22)</f>
        <v>0</v>
      </c>
    </row>
    <row r="24" spans="2:5" x14ac:dyDescent="0.2">
      <c r="C24" s="2">
        <v>152</v>
      </c>
    </row>
  </sheetData>
  <mergeCells count="1">
    <mergeCell ref="B5:E7"/>
  </mergeCells>
  <phoneticPr fontId="0" type="noConversion"/>
  <pageMargins left="0.19685039370078741" right="0.19685039370078741" top="0.19685039370078741" bottom="0.19685039370078741" header="0.11811023622047245" footer="0.11811023622047245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Estratificação</vt:lpstr>
      <vt:lpstr>Pareto</vt:lpstr>
      <vt:lpstr>Estratificação!Area_de_impressao</vt:lpstr>
    </vt:vector>
  </TitlesOfParts>
  <Company>Cia. Cervejaria Brahma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Cia. Cervejaria Brahma</dc:creator>
  <cp:lastModifiedBy>Paulo Mendonça</cp:lastModifiedBy>
  <cp:lastPrinted>2010-10-22T16:17:56Z</cp:lastPrinted>
  <dcterms:created xsi:type="dcterms:W3CDTF">2001-11-30T18:43:15Z</dcterms:created>
  <dcterms:modified xsi:type="dcterms:W3CDTF">2014-03-27T09:50:33Z</dcterms:modified>
</cp:coreProperties>
</file>