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drawings/drawing17.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drawings/drawing11.xml" ContentType="application/vnd.openxmlformats-officedocument.drawing+xml"/>
  <Override PartName="/xl/drawings/drawing1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Records1.xml" ContentType="application/vnd.openxmlformats-officedocument.spreadsheetml.pivotCacheRecords+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worksheets/sheet23.xml" ContentType="application/vnd.openxmlformats-officedocument.spreadsheetml.workshee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drawings/drawing5.xml" ContentType="application/vnd.openxmlformats-officedocument.drawing+xml"/>
  <Override PartName="/xl/pivotTables/pivotTable1.xml" ContentType="application/vnd.openxmlformats-officedocument.spreadsheetml.pivotTable+xml"/>
  <Override PartName="/xl/drawings/drawing18.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EstaPasta_de_trabalho" hidePivotFieldList="1" defaultThemeVersion="124226"/>
  <bookViews>
    <workbookView showSheetTabs="0" xWindow="360" yWindow="132" windowWidth="16608" windowHeight="8388" tabRatio="918"/>
  </bookViews>
  <sheets>
    <sheet name="Capa" sheetId="4" r:id="rId1"/>
    <sheet name="autofiltro" sheetId="1" r:id="rId2"/>
    <sheet name="calculo %" sheetId="2" r:id="rId3"/>
    <sheet name="concatenar" sheetId="3" r:id="rId4"/>
    <sheet name="procv" sheetId="5" r:id="rId5"/>
    <sheet name="Soma" sheetId="6" r:id="rId6"/>
    <sheet name="media" sheetId="7" r:id="rId7"/>
    <sheet name="Tabela dinamica" sheetId="8" r:id="rId8"/>
    <sheet name="ProtPlan" sheetId="9" r:id="rId9"/>
    <sheet name="SE" sheetId="10" r:id="rId10"/>
    <sheet name="Esquerda" sheetId="11" r:id="rId11"/>
    <sheet name="Direita" sheetId="12" r:id="rId12"/>
    <sheet name="Cont.se" sheetId="13" r:id="rId13"/>
    <sheet name="Máximo" sheetId="14" r:id="rId14"/>
    <sheet name="Mínimo" sheetId="15" r:id="rId15"/>
    <sheet name="Maior" sheetId="16" r:id="rId16"/>
    <sheet name="Menor" sheetId="17" r:id="rId17"/>
    <sheet name="congelar" sheetId="18" r:id="rId18"/>
    <sheet name="validação" sheetId="19" r:id="rId19"/>
    <sheet name="hoje" sheetId="20" r:id="rId20"/>
    <sheet name="hiperlink" sheetId="22" r:id="rId21"/>
    <sheet name="cont.num" sheetId="24" r:id="rId22"/>
    <sheet name="grafico" sheetId="25" r:id="rId23"/>
    <sheet name="guia planilha" sheetId="26" r:id="rId24"/>
  </sheets>
  <definedNames>
    <definedName name="_xlnm._FilterDatabase" localSheetId="1" hidden="1">autofiltro!$B$27:$N$44</definedName>
    <definedName name="BMbacktotop" localSheetId="1">autofiltro!$B$8</definedName>
  </definedNames>
  <calcPr calcId="125725"/>
  <pivotCaches>
    <pivotCache cacheId="0" r:id="rId25"/>
  </pivotCaches>
</workbook>
</file>

<file path=xl/calcChain.xml><?xml version="1.0" encoding="utf-8"?>
<calcChain xmlns="http://schemas.openxmlformats.org/spreadsheetml/2006/main">
  <c r="H24" i="24"/>
  <c r="I27" i="10"/>
  <c r="H29" i="12"/>
  <c r="J45" i="25" l="1"/>
  <c r="K44"/>
  <c r="K41"/>
  <c r="K40"/>
  <c r="K36"/>
  <c r="D24"/>
  <c r="D28"/>
  <c r="C30"/>
  <c r="K43" s="1"/>
  <c r="H15" i="20"/>
  <c r="D20"/>
  <c r="D21"/>
  <c r="D22"/>
  <c r="D23"/>
  <c r="D24"/>
  <c r="D25"/>
  <c r="D26"/>
  <c r="D27"/>
  <c r="D28"/>
  <c r="D19"/>
  <c r="D27" i="25" l="1"/>
  <c r="D23"/>
  <c r="K37"/>
  <c r="D21"/>
  <c r="D26"/>
  <c r="D22"/>
  <c r="K38"/>
  <c r="K42"/>
  <c r="K45" s="1"/>
  <c r="D29"/>
  <c r="D25"/>
  <c r="K39"/>
  <c r="H27" i="17"/>
  <c r="H20"/>
  <c r="H27" i="16"/>
  <c r="H20"/>
  <c r="H20" i="15"/>
  <c r="H20" i="14"/>
  <c r="I27" i="13"/>
  <c r="H25" i="12"/>
  <c r="H29" i="11"/>
  <c r="H25"/>
  <c r="F33" i="7"/>
  <c r="F33" i="6"/>
  <c r="L35" i="5"/>
  <c r="K35"/>
  <c r="G53" i="3"/>
  <c r="G54"/>
  <c r="G55"/>
  <c r="G56"/>
  <c r="G52"/>
  <c r="G44"/>
  <c r="G45"/>
  <c r="G46"/>
  <c r="G47"/>
  <c r="G43"/>
  <c r="G30"/>
  <c r="G31"/>
  <c r="G32"/>
  <c r="G33"/>
  <c r="G34"/>
  <c r="G35"/>
  <c r="G36"/>
  <c r="G37"/>
  <c r="G38"/>
  <c r="G29"/>
  <c r="D19" i="2"/>
  <c r="D20"/>
  <c r="D22"/>
  <c r="D23"/>
  <c r="D18"/>
  <c r="C23"/>
  <c r="D21" s="1"/>
  <c r="D30" i="25" l="1"/>
</calcChain>
</file>

<file path=xl/sharedStrings.xml><?xml version="1.0" encoding="utf-8"?>
<sst xmlns="http://schemas.openxmlformats.org/spreadsheetml/2006/main" count="1174" uniqueCount="357">
  <si>
    <t>%</t>
  </si>
  <si>
    <t>Autofiltro</t>
  </si>
  <si>
    <t>Cálculo %</t>
  </si>
  <si>
    <t>O uso do AutoFiltro para filtrar dados é um modo rápido e fácil de localizar e trabalhar com um subconjunto de dados em um intervalo de células ou coluna de tabela.</t>
  </si>
  <si>
    <t>Como habilitar</t>
  </si>
  <si>
    <t>ou atalho no teclado</t>
  </si>
  <si>
    <t>Alt+S+T</t>
  </si>
  <si>
    <t>Exemplo</t>
  </si>
  <si>
    <t>Auditor</t>
  </si>
  <si>
    <t>Solicitação</t>
  </si>
  <si>
    <t>Documento</t>
  </si>
  <si>
    <t>Protocolo Atendimento</t>
  </si>
  <si>
    <t>Aberto em</t>
  </si>
  <si>
    <t>Fechado em</t>
  </si>
  <si>
    <t>Tipo</t>
  </si>
  <si>
    <t>Descrição</t>
  </si>
  <si>
    <t>Detalhe</t>
  </si>
  <si>
    <t>Linhas</t>
  </si>
  <si>
    <t>Segmento Abertura SS</t>
  </si>
  <si>
    <t>Automidia</t>
  </si>
  <si>
    <t>João Menezes</t>
  </si>
  <si>
    <t>S-87548998</t>
  </si>
  <si>
    <t>14012012-0141022</t>
  </si>
  <si>
    <t>Defeito</t>
  </si>
  <si>
    <t>TV..</t>
  </si>
  <si>
    <t>Tela Branca - loading Page</t>
  </si>
  <si>
    <t>Residencial</t>
  </si>
  <si>
    <t>S-87679949</t>
  </si>
  <si>
    <t>16012012-0083139</t>
  </si>
  <si>
    <t>Não aceita checklist</t>
  </si>
  <si>
    <t>S-87672446</t>
  </si>
  <si>
    <t>16012012-0070957</t>
  </si>
  <si>
    <t>Erro de sintonia - 385</t>
  </si>
  <si>
    <t>S-86025094</t>
  </si>
  <si>
    <t>05012012-0274241</t>
  </si>
  <si>
    <t>Sem Sinal DTH</t>
  </si>
  <si>
    <t>S-85246679</t>
  </si>
  <si>
    <t>02012012-0001291</t>
  </si>
  <si>
    <t>Sem sinal</t>
  </si>
  <si>
    <t>S-87858945</t>
  </si>
  <si>
    <t>16012012-0361255</t>
  </si>
  <si>
    <t>S-86390612</t>
  </si>
  <si>
    <t>08012012-0066345</t>
  </si>
  <si>
    <t>S-87050851</t>
  </si>
  <si>
    <t>11012012-0345966</t>
  </si>
  <si>
    <t>S-85855610</t>
  </si>
  <si>
    <t>04012012-0309332</t>
  </si>
  <si>
    <t>Sem sinal DTT</t>
  </si>
  <si>
    <t>S-86485283</t>
  </si>
  <si>
    <t>09012012-0142154</t>
  </si>
  <si>
    <t>Falha na imagem</t>
  </si>
  <si>
    <t>S-87473841</t>
  </si>
  <si>
    <t>14012012-0016764</t>
  </si>
  <si>
    <t>S-86093198</t>
  </si>
  <si>
    <t>06012012-0060064</t>
  </si>
  <si>
    <t>Decoder não liga</t>
  </si>
  <si>
    <t>S-88115038</t>
  </si>
  <si>
    <t>18012012-0023364</t>
  </si>
  <si>
    <t>S-85938908</t>
  </si>
  <si>
    <t>05012012-0129025</t>
  </si>
  <si>
    <t>S-87634977</t>
  </si>
  <si>
    <t>16012012-0013502</t>
  </si>
  <si>
    <t>S-87908071</t>
  </si>
  <si>
    <t>17012012-0073999</t>
  </si>
  <si>
    <t>S-85850244</t>
  </si>
  <si>
    <t>04012012-0301439</t>
  </si>
  <si>
    <t>Nota</t>
  </si>
  <si>
    <t>Importante</t>
  </si>
  <si>
    <t>Clicar na célula do cabeçalho para inserir o autofiltro, pois, do contrário, alguns dados podem ficar de fora da filtragem, alterando o resultado.</t>
  </si>
  <si>
    <t>Dica</t>
  </si>
  <si>
    <t>O Excel permite personalizar o filtro e fazê-lo pela cor da célula, ou ainda, utilizar fórmulas para isso!!</t>
  </si>
  <si>
    <t>PORCENTAGEM pode ser definida como a centésima parte de uma grandeza, ou o cálculo baseado em 100 unidades. É visto com freqüência as pessoas ou o próprio mercado usar expressões de acréscimo ou redução nos preços de produtos ou serviços.</t>
  </si>
  <si>
    <t>Como fazer</t>
  </si>
  <si>
    <t>No Excel podemos facilmente calcular o % conforme abaixo:</t>
  </si>
  <si>
    <t>Mês</t>
  </si>
  <si>
    <t>janeiro</t>
  </si>
  <si>
    <t>fevereiro</t>
  </si>
  <si>
    <t>março</t>
  </si>
  <si>
    <t>abril</t>
  </si>
  <si>
    <t>maio</t>
  </si>
  <si>
    <t>Qtdade</t>
  </si>
  <si>
    <t>total</t>
  </si>
  <si>
    <t>Fórmula</t>
  </si>
  <si>
    <t>=C18/C$23$</t>
  </si>
  <si>
    <t>=C19/C$23$</t>
  </si>
  <si>
    <t>=C20/C$23$</t>
  </si>
  <si>
    <t>=C21/C$23$</t>
  </si>
  <si>
    <t>=C22/C$23$</t>
  </si>
  <si>
    <t>Ou seja</t>
  </si>
  <si>
    <r>
      <t xml:space="preserve">Fórmula utilizada: </t>
    </r>
    <r>
      <rPr>
        <b/>
        <sz val="16"/>
        <color theme="9" tint="-0.249977111117893"/>
        <rFont val="Calibri"/>
        <family val="2"/>
        <scheme val="minor"/>
      </rPr>
      <t>SOMA</t>
    </r>
  </si>
  <si>
    <t>Função Concatenar</t>
  </si>
  <si>
    <t>Concatenando teremos</t>
  </si>
  <si>
    <t>Abaixo temos uma tabela onde os campos Tipo, descrição e detalhe estão em colunas diferentes, e precisamos agrupá-las em uma única coluna.</t>
  </si>
  <si>
    <t>=CONCATENAR(B23;"/";C23;"/";D23)</t>
  </si>
  <si>
    <t>=CONCATENAR(B24;"/";C24;"/";D24)</t>
  </si>
  <si>
    <t>=CONCATENAR(B25;"/";C25;"/";D25)</t>
  </si>
  <si>
    <t>=CONCATENAR(B26;"/";C26;"/";D26)</t>
  </si>
  <si>
    <t>=CONCATENAR(B27;"/";C27;"/";D27)</t>
  </si>
  <si>
    <t>=CONCATENAR(B28;"/";C28;"/";D28)</t>
  </si>
  <si>
    <t>=CONCATENAR(B29;"/";C29;"/";D29)</t>
  </si>
  <si>
    <t>=CONCATENAR(B30;"/";C30;"/";D30)</t>
  </si>
  <si>
    <t>=CONCATENAR(B31;"/";C31;"/";D31)</t>
  </si>
  <si>
    <t>=CONCATENAR(B32;"/";C32;"/";D32)</t>
  </si>
  <si>
    <t>Outro exemplo</t>
  </si>
  <si>
    <t>Jorge</t>
  </si>
  <si>
    <t>Nome</t>
  </si>
  <si>
    <t>Sobrenome</t>
  </si>
  <si>
    <t>Monteiro</t>
  </si>
  <si>
    <t>Fábio</t>
  </si>
  <si>
    <t>Rolim</t>
  </si>
  <si>
    <t>João</t>
  </si>
  <si>
    <t>Carlos</t>
  </si>
  <si>
    <t>Alessandra</t>
  </si>
  <si>
    <t>Menezes</t>
  </si>
  <si>
    <t>Janaina</t>
  </si>
  <si>
    <t>Lanna</t>
  </si>
  <si>
    <t>=CONCATENAR(B37;" ";C37)</t>
  </si>
  <si>
    <t>=CONCATENAR(B38;" ";C38)</t>
  </si>
  <si>
    <t>=CONCATENAR(B39;" ";C39)</t>
  </si>
  <si>
    <t>=CONCATENAR(B40;" ";C40)</t>
  </si>
  <si>
    <t>=CONCATENAR(B41;" ";C41)</t>
  </si>
  <si>
    <t>Esta função é útil quando temos uma quantidade grande de dados que precisamos agrupar.</t>
  </si>
  <si>
    <t>Matrícula</t>
  </si>
  <si>
    <t>Precisamos inserir a matrícula completa, com o G do colaborador</t>
  </si>
  <si>
    <t>=CONCATENAR("G000";B46)</t>
  </si>
  <si>
    <t>=CONCATENAR("G000";B47)</t>
  </si>
  <si>
    <t>=CONCATENAR("G000";B48)</t>
  </si>
  <si>
    <t>=CONCATENAR("G000";B49)</t>
  </si>
  <si>
    <t>=CONCATENAR("G000";B50)</t>
  </si>
  <si>
    <t>Para inserir um espaço em branco utiliza-se aspas duplas;</t>
  </si>
  <si>
    <t>Para inserir um caracter qualquer coloca-se este caractér entre aspas duplas</t>
  </si>
  <si>
    <t>=concatenar(" ";B15)</t>
  </si>
  <si>
    <t>=concatenar("Defeito";"/";"TV")</t>
  </si>
  <si>
    <t>Para separar os campos ou valores a se concatenar utiliza-se o ponto e virgula</t>
  </si>
  <si>
    <t>A função CONCATENAR agrupa até 255 cadeias de texto em uma cadeia de texto. Os itens agrupados podem ser texto, números, referências de células ou uma combinação desses itens. Por exemplo, se sua planilha contiver o nome de uma pessoa na célula A1 e o sobrenome da pessoa na célula B1, você poderá combinar os dois valores em outra célula.</t>
  </si>
  <si>
    <t>Selecione a função:</t>
  </si>
  <si>
    <t>Função PROCV</t>
  </si>
  <si>
    <t>O PROCV somente irá funcionar corretamente se:</t>
  </si>
  <si>
    <t>Abaixo temos uma tabela(base)</t>
  </si>
  <si>
    <t>Insira o nº da solicitação da base</t>
  </si>
  <si>
    <t>Sintaxe da função</t>
  </si>
  <si>
    <t>=PROCV(J29;C28:F45;4;0)</t>
  </si>
  <si>
    <t>Valor procurado (O que eu procuro)</t>
  </si>
  <si>
    <t>Matriz(tabela) onde eu quero procurar</t>
  </si>
  <si>
    <t>Em qual coluna da matriz está a resposta que eu quero</t>
  </si>
  <si>
    <t>Valor se não encontrar o que eu procuro</t>
  </si>
  <si>
    <t>Na fórmula do PROCV, na matriz, as colunas passam a serem contadas a partir da seleção feita, e não da quantidade total de colunas da base inteira;</t>
  </si>
  <si>
    <t>Se na base(matriz) o valor que eu procuro estiver duplicado, o PROCV trará apenas o 1º valor encontrado;</t>
  </si>
  <si>
    <t>O valor dado (ou condição) estiver à esquerda da matriz (base);</t>
  </si>
  <si>
    <t>Dicas</t>
  </si>
  <si>
    <t>Função Soma</t>
  </si>
  <si>
    <t>A soma pode ser feita pela fórmula (=soma), pelo atalho no teclado (Alt+=) ou ainda com o botão</t>
  </si>
  <si>
    <t>Total notas</t>
  </si>
  <si>
    <t>=SOMA(F22:F30)</t>
  </si>
  <si>
    <t>Soma de valores numéricos (datas, horas, valores...)</t>
  </si>
  <si>
    <t>Função Média</t>
  </si>
  <si>
    <t>A média pode ser feita da maneira convencional (soma dos valores divididos pela quantidade), ou através da fórmula abaixo</t>
  </si>
  <si>
    <t>Média de Notas</t>
  </si>
  <si>
    <t>=MÉDIA(F23:F31)</t>
  </si>
  <si>
    <t>Retorna a média (média aritmética) dos argumentos.</t>
  </si>
  <si>
    <r>
      <t xml:space="preserve">A função média DEVE ser escrita </t>
    </r>
    <r>
      <rPr>
        <b/>
        <sz val="11"/>
        <color rgb="FFFF0000"/>
        <rFont val="Calibri"/>
        <family val="2"/>
        <scheme val="minor"/>
      </rPr>
      <t>com acento!!</t>
    </r>
  </si>
  <si>
    <t>Tabela Dinâmica</t>
  </si>
  <si>
    <t>Use um relatório de tabela dinâmica para resumir, analisar, explorar e apresentar dados de resumo. Use um relatório de gráfico dinâmico para visualizar esses dados de resumo em um relatório de tabela dinâmica e para ver facilmente as comparações, os padrões e as tendências. Tanto o relatório de tabela dinâmica quanto o relatório de gráfico dinâmico permitem tomar decisões corretas sobre dados críticos na sua empresa. As seções a seguir fornecem uma visão geral dos relatórios de tabela dinâmica e dos relatórios de gráfico dinâmico.</t>
  </si>
  <si>
    <t>A tabela dinâmica pode ser feita através do atalho no teclado Alt+Y+E+T, após a seleção dos dados na tabela base</t>
  </si>
  <si>
    <t>Total geral</t>
  </si>
  <si>
    <t>Total</t>
  </si>
  <si>
    <t>Média de Nota</t>
  </si>
  <si>
    <t>1º Passo</t>
  </si>
  <si>
    <t>Selecionar a base de origem da tabela dinâmica</t>
  </si>
  <si>
    <t>2º Passo</t>
  </si>
  <si>
    <t>Clicar no botão</t>
  </si>
  <si>
    <t>Clicar 2x para alterar a operação a ser apresentada (Média, Soma, Contagem...)</t>
  </si>
  <si>
    <t>Proteger Planilha</t>
  </si>
  <si>
    <t>É possível combinar a proteção da planilha com o bloqueio de células, assim o usuário fica impedido de editar campos específicos da planilha, como em um formulário por exemplo</t>
  </si>
  <si>
    <t>Para proteger a planilha toda, clicar no botão abaixo</t>
  </si>
  <si>
    <t>Selecionar a ação que deseja bloquear</t>
  </si>
  <si>
    <t>Caso haja necessidade, é possível atribuir uma senha de edição.</t>
  </si>
  <si>
    <t>É possível definir que tipo de ação será permitida em cada célula da planilha conforme abaixo, assim é possível deixar apenas algumas células liberadas para a edição</t>
  </si>
  <si>
    <t>Clicar com o botão direito na célula</t>
  </si>
  <si>
    <t>Selecionar "Proteção"</t>
  </si>
  <si>
    <t>Marcar ou desmarcar "Bloqueadas"</t>
  </si>
  <si>
    <t>Marcada=</t>
  </si>
  <si>
    <t>Desmarcada=</t>
  </si>
  <si>
    <t>Célula bloqueada para edição</t>
  </si>
  <si>
    <t>Célula desbloqueada para edição</t>
  </si>
  <si>
    <t>Função SE</t>
  </si>
  <si>
    <t>A função SE retornará um valor se uma condição que você especificou for avaliada como VERDADEIRO e um outro valor se essa condição for avaliada como FALSO.</t>
  </si>
  <si>
    <t>Podemos formatar a célula para percentual clicando no botão abaixo</t>
  </si>
  <si>
    <t>Podemos também arredondar o valor clicando nos botões abaixo</t>
  </si>
  <si>
    <t>Guia: Dados / FILTRO</t>
  </si>
  <si>
    <t>A função PROCV é muito utilizada quando se precisa procurar valores, campos ou outros itens em bases ou tabelas grandes, ou ainda comparar tabelas, identificando a presença de um ou mais registros em tabelas diferentes. Esta função retorna o valor procurado a partir de uma condição.</t>
  </si>
  <si>
    <t>A formatação da célula do valor procurado (ou condição) forem as mesmas;</t>
  </si>
  <si>
    <t>Número da coluna</t>
  </si>
  <si>
    <t>Caso a matriz(tabela) seja selecionada conforme o destacado em laranja, temos um novo dimensionamento das posições da tabela, ou seja, a contagem da coluna começa de acordo com o selecionado, e é este nº da coluna que vai na fórmula</t>
  </si>
  <si>
    <t>Serve para impedir que, por acidente ou deliberadamente, um usuário altere, mova ou exclua dados importantes de planilhas ou pastas de trabalho. Você pode proteger determinados elementos da planilha ou da pasta de trabalho, com ou sem senha. É possível remover a proteção da planilha, conforme necessário.</t>
  </si>
  <si>
    <t>A função SE pode ser utilizada para diversos fins, por exemplo, verificar quantas vezes um CPF se repete em uma planilha, ou ainda combinando a função SE com outra, como por exemplo, SE uma condição for verdadeira, pintar uma célula de uma determinada cor...</t>
  </si>
  <si>
    <t>=SE(H27=D27;VERDADEIRO;FALSO)</t>
  </si>
  <si>
    <t>SE - Esta condição for verdadeira; Célula receberá "Verdadeiro"; Caso contrário receberá "Falso"</t>
  </si>
  <si>
    <t>Verificar se o valor X é igual ao digitado na célula</t>
  </si>
  <si>
    <t>Operadores lógicos</t>
  </si>
  <si>
    <t>&lt;</t>
  </si>
  <si>
    <t>&gt;</t>
  </si>
  <si>
    <t>&lt;&gt;</t>
  </si>
  <si>
    <t>=</t>
  </si>
  <si>
    <t>Maior</t>
  </si>
  <si>
    <t>Menor</t>
  </si>
  <si>
    <t>Diferente</t>
  </si>
  <si>
    <t>Igual</t>
  </si>
  <si>
    <t>&lt;=</t>
  </si>
  <si>
    <t>&gt;=</t>
  </si>
  <si>
    <t>Menor ou igual</t>
  </si>
  <si>
    <t>Maior ou igual</t>
  </si>
  <si>
    <t>Função Esquerda</t>
  </si>
  <si>
    <t>A função ESQUERDA retorna caractér da posição X a contar da esquerda para a direita</t>
  </si>
  <si>
    <t>A função ESQUERDA pode ser útil para corrigir uma tabela onde os valores podem ser desconsiderados</t>
  </si>
  <si>
    <t>Retornar apenas o 1º nome do Auditor</t>
  </si>
  <si>
    <t>Retornar apenas os 4 1ºs números do documento</t>
  </si>
  <si>
    <t>=ESQUERDA(B26;4)</t>
  </si>
  <si>
    <t>=ESQUERDA(D26;4)</t>
  </si>
  <si>
    <t>Célula</t>
  </si>
  <si>
    <t>Posição do caractére a partir da Esquerda</t>
  </si>
  <si>
    <t>Função Direita</t>
  </si>
  <si>
    <t>A função DIREITA retorna caractér da posição X a contar da direita para a esquerda</t>
  </si>
  <si>
    <t>A função DIREITA pode ser útil para corrigir uma tabela onde os valores podem ser desconsiderados</t>
  </si>
  <si>
    <t>Retornar apenas o último nome do Auditor</t>
  </si>
  <si>
    <t>Retornar apenas os 4 últimos números do documento</t>
  </si>
  <si>
    <t>=DIREITA(D26;4)</t>
  </si>
  <si>
    <t>=DIREITA(B26;7)</t>
  </si>
  <si>
    <t>Função CONT.SE</t>
  </si>
  <si>
    <t>A função CONT.SE faz a contagem em uma tabela se uma condição que você especificou for VERDADEIRA.</t>
  </si>
  <si>
    <t>A função CONT.SE pode ser utilizada para diversos fins, por exemplo, verificar quantas vezes um CPF, ou como no exemplo, uma nota se repetem em uma planilha.</t>
  </si>
  <si>
    <t>Verificar quantas vezes o valor X se repete na tabela</t>
  </si>
  <si>
    <t>Contar (quantidade) se, dentro da tabela selecionada X, o valor Y esta presente</t>
  </si>
  <si>
    <t>=CONT.SE(F26:F34;H27)</t>
  </si>
  <si>
    <t>Função Máximo</t>
  </si>
  <si>
    <t>A função MÁXIMO retorna o maior valor da tabela selecionada</t>
  </si>
  <si>
    <t>Retornar a maior nota</t>
  </si>
  <si>
    <t>=MÁXIMO(F21:F29)</t>
  </si>
  <si>
    <t>Conjunto de Valores</t>
  </si>
  <si>
    <t>Função Mínimo</t>
  </si>
  <si>
    <t>A função MÍNIMO retorna o maior valor da tabela selecionada</t>
  </si>
  <si>
    <t>Retornar a menor nota</t>
  </si>
  <si>
    <t>=MÍNIMO(F21:F29)</t>
  </si>
  <si>
    <t>Função Maior</t>
  </si>
  <si>
    <t>A função Maior retorna o maior valor da tabela selecionada de acordo com a posição desejada</t>
  </si>
  <si>
    <t>Retornar a 1ª maior nota</t>
  </si>
  <si>
    <t>Retornar a 3ª maior nota</t>
  </si>
  <si>
    <t>=MAIOR(F21:F29;1)</t>
  </si>
  <si>
    <t>=MAIOR(F21:F29;3)</t>
  </si>
  <si>
    <t>Lista de valores</t>
  </si>
  <si>
    <r>
      <t>Posição do valor desejado (</t>
    </r>
    <r>
      <rPr>
        <b/>
        <sz val="11"/>
        <color theme="3"/>
        <rFont val="Calibri"/>
        <family val="2"/>
        <scheme val="minor"/>
      </rPr>
      <t xml:space="preserve">3º </t>
    </r>
    <r>
      <rPr>
        <b/>
        <sz val="11"/>
        <color rgb="FFFF0000"/>
        <rFont val="Calibri"/>
        <family val="2"/>
        <scheme val="minor"/>
      </rPr>
      <t>maior)</t>
    </r>
  </si>
  <si>
    <r>
      <t>Posição do valor desejado (</t>
    </r>
    <r>
      <rPr>
        <b/>
        <sz val="11"/>
        <color theme="3"/>
        <rFont val="Calibri"/>
        <family val="2"/>
        <scheme val="minor"/>
      </rPr>
      <t xml:space="preserve">1º </t>
    </r>
    <r>
      <rPr>
        <b/>
        <sz val="11"/>
        <color rgb="FFFF0000"/>
        <rFont val="Calibri"/>
        <family val="2"/>
        <scheme val="minor"/>
      </rPr>
      <t>maior)</t>
    </r>
  </si>
  <si>
    <t>Função Menor</t>
  </si>
  <si>
    <t>A função Menor retorna o maior valor da tabela selecionada de acordo com a posição desejada</t>
  </si>
  <si>
    <t>Retornar a 1ª menor nota</t>
  </si>
  <si>
    <t>Retornar a 3ª menor nota</t>
  </si>
  <si>
    <t>=MENOR(F21:F29;1)</t>
  </si>
  <si>
    <t>=MENOR(F21:F29;3)</t>
  </si>
  <si>
    <r>
      <t>Posição do valor desejado (</t>
    </r>
    <r>
      <rPr>
        <b/>
        <sz val="11"/>
        <color theme="3"/>
        <rFont val="Calibri"/>
        <family val="2"/>
        <scheme val="minor"/>
      </rPr>
      <t xml:space="preserve">3º </t>
    </r>
    <r>
      <rPr>
        <b/>
        <sz val="11"/>
        <color rgb="FFFF0000"/>
        <rFont val="Calibri"/>
        <family val="2"/>
        <scheme val="minor"/>
      </rPr>
      <t>menor)</t>
    </r>
  </si>
  <si>
    <r>
      <t>Posição do valor desejado (</t>
    </r>
    <r>
      <rPr>
        <b/>
        <sz val="11"/>
        <color theme="3"/>
        <rFont val="Calibri"/>
        <family val="2"/>
        <scheme val="minor"/>
      </rPr>
      <t xml:space="preserve">1º </t>
    </r>
    <r>
      <rPr>
        <b/>
        <sz val="11"/>
        <color rgb="FFFF0000"/>
        <rFont val="Calibri"/>
        <family val="2"/>
        <scheme val="minor"/>
      </rPr>
      <t>menor)</t>
    </r>
  </si>
  <si>
    <t>Congelar Painéis</t>
  </si>
  <si>
    <t>Esta função serve para melhorar a visualização dos dados em uma grande tabela</t>
  </si>
  <si>
    <t>Clicar em</t>
  </si>
  <si>
    <t>Ex.:</t>
  </si>
  <si>
    <t>O congelamento de painéis, por padrão, é feito a partir da linha acima e da coluna a esquerda da célula selecionada</t>
  </si>
  <si>
    <t>Se a célula selecionada for a destacada em amarelo, tudo que estiver a esquerda da linha vermelha e acima será congelado</t>
  </si>
  <si>
    <t>Validação de Dados</t>
  </si>
  <si>
    <t>Esta função padroniza os dados a serem inseridos em determinadas células</t>
  </si>
  <si>
    <t>Ficha de inscrição</t>
  </si>
  <si>
    <t>Idade</t>
  </si>
  <si>
    <t>Sexo</t>
  </si>
  <si>
    <t>Fumante?</t>
  </si>
  <si>
    <t>Possui veículo:</t>
  </si>
  <si>
    <t>Masculino</t>
  </si>
  <si>
    <t>Não</t>
  </si>
  <si>
    <t>Sim</t>
  </si>
  <si>
    <t>1º - Clicar sobre a célula na qual deseja inserir a validação</t>
  </si>
  <si>
    <t>2º - Clicar em: Dados/Validação de dados</t>
  </si>
  <si>
    <t>3º - Na guia Configurações, selecionar a opção LISTA</t>
  </si>
  <si>
    <t>5º - Clicar em OK</t>
  </si>
  <si>
    <t>4º - No campo FONTE, inserir os dados</t>
  </si>
  <si>
    <t>Separar com ";" sem espaços em branco</t>
  </si>
  <si>
    <t>Função Hoje</t>
  </si>
  <si>
    <t>S-107187482</t>
  </si>
  <si>
    <t>S-108393050</t>
  </si>
  <si>
    <t>S-108392835</t>
  </si>
  <si>
    <t>S-109966912</t>
  </si>
  <si>
    <t>S-109966170</t>
  </si>
  <si>
    <t>S-109774651</t>
  </si>
  <si>
    <t>S-109691468</t>
  </si>
  <si>
    <t>S-109375544</t>
  </si>
  <si>
    <t>S-109455474</t>
  </si>
  <si>
    <t>S-109211778</t>
  </si>
  <si>
    <t>Nota Fiscal</t>
  </si>
  <si>
    <t>Data vencimento</t>
  </si>
  <si>
    <t>dias em atraso</t>
  </si>
  <si>
    <t>=hoje()-C19</t>
  </si>
  <si>
    <t>=hoje()-C20</t>
  </si>
  <si>
    <t>=hoje()-C21</t>
  </si>
  <si>
    <t>=hoje()-C22</t>
  </si>
  <si>
    <t>=hoje()-C23</t>
  </si>
  <si>
    <t>=hoje()-C24</t>
  </si>
  <si>
    <t>=hoje()-C25</t>
  </si>
  <si>
    <t>=hoje()-C26</t>
  </si>
  <si>
    <t>=hoje()-C27</t>
  </si>
  <si>
    <t>=hoje()-C28</t>
  </si>
  <si>
    <t>Esta função retorna a data de hoje. Troca o dia automáticamente toda a vez em que a planilha é aberta</t>
  </si>
  <si>
    <t>Hiperlinks</t>
  </si>
  <si>
    <t>O hiperlink serve como atalho para um local, página, conteúdo, planilha ou outro aplicativo do Office</t>
  </si>
  <si>
    <t>O hiperlink funciona no EXCEL a partir de uma figura, imagem, clipart, forma ou textos.</t>
  </si>
  <si>
    <t>1º - Clicar com o botão esquerdo sobre a figura, texto ou objeto na qual deseja inserir o hiperlink</t>
  </si>
  <si>
    <t>2º - Selecionar a opção HIPERLINK</t>
  </si>
  <si>
    <t>Na tela aberta, podemos selecionar o tipo de hiperlink desejado</t>
  </si>
  <si>
    <t>Para rolar a planilha para uma célula específica, digitar a referência da célula. Igual ao exemplo.</t>
  </si>
  <si>
    <t>Para abrir uma outra guia da planilha, selecionar qual a guia desejada</t>
  </si>
  <si>
    <t>Para abrir um endereço da Web ou outro documento</t>
  </si>
  <si>
    <t>3º - Clicar em OK</t>
  </si>
  <si>
    <t>Função CONT.NUM</t>
  </si>
  <si>
    <t>Quantidade total de dados na base</t>
  </si>
  <si>
    <t>=CONT.NÚM(F25:F33)</t>
  </si>
  <si>
    <t>Selecionar toda uma coluna para trazer quantos valores ela possui</t>
  </si>
  <si>
    <t>Esta função retorna a quantidade de células (contagem) que não estão em branco. Pode ser útil quando se tem uma base de dados muito grande e é necessário saber quantidade de dados.</t>
  </si>
  <si>
    <t>Inserir gráfico</t>
  </si>
  <si>
    <t>Gráficos são essenciais para mostrar visualmente a diferença entre valores ou resultados.</t>
  </si>
  <si>
    <t>Janeiro</t>
  </si>
  <si>
    <t>Fevereiro</t>
  </si>
  <si>
    <t>Março</t>
  </si>
  <si>
    <t>Abril</t>
  </si>
  <si>
    <t>Maio</t>
  </si>
  <si>
    <t>Junho</t>
  </si>
  <si>
    <t>Agosto</t>
  </si>
  <si>
    <t>Setembro</t>
  </si>
  <si>
    <t>Vendas</t>
  </si>
  <si>
    <t>Vendas/Mês</t>
  </si>
  <si>
    <t>1º - Selecionar os dados. (No exemplo, destacado em amarelo)</t>
  </si>
  <si>
    <t>2º - Selecionar o gráfico</t>
  </si>
  <si>
    <t>O EXCEL cria o gráfico automaticamente após a seleção do tipo.</t>
  </si>
  <si>
    <t>Toda a formatação do tipo, cores, modelos, legendas, títulos, rótulo de dados entre outros é feita, clicando-se sobre a área do gráfico e em seguida pelas guias que surgem, conforme a imagem abaixo.</t>
  </si>
  <si>
    <t>Antes de selecionar a área do gráfico</t>
  </si>
  <si>
    <t>Após selecionar a área do gráfico</t>
  </si>
  <si>
    <t>Estas 3 guias fazem a formatação do gráfico</t>
  </si>
  <si>
    <t>Exibir / Ocultar Linha de grade</t>
  </si>
  <si>
    <t>É possível exibir ou ocultar as linhas de grade pelo atalho no teclado ALT+J+V+R</t>
  </si>
  <si>
    <t>Guia: EXIBIÇÃO / Linhas de Grade</t>
  </si>
  <si>
    <t>Exibir / Ocultar Guias de planilha</t>
  </si>
  <si>
    <t>1º - Clicar em</t>
  </si>
  <si>
    <t>2º - Clicar em Opções do Excel</t>
  </si>
  <si>
    <t>3º - Guia AVANÇADO</t>
  </si>
  <si>
    <r>
      <t>Para se escrever a função, deve-se inserir o acento (=CONT.N</t>
    </r>
    <r>
      <rPr>
        <b/>
        <i/>
        <sz val="16"/>
        <rFont val="Calibri"/>
        <family val="2"/>
        <scheme val="minor"/>
      </rPr>
      <t>Ú</t>
    </r>
    <r>
      <rPr>
        <b/>
        <i/>
        <sz val="11"/>
        <color theme="9" tint="-0.249977111117893"/>
        <rFont val="Calibri"/>
        <family val="2"/>
        <scheme val="minor"/>
      </rPr>
      <t>M)</t>
    </r>
  </si>
  <si>
    <t>É possível também fazer referência a uma lista de opções em uma tabela, célula específica ou ainda outra planilha!!</t>
  </si>
  <si>
    <t>DICA</t>
  </si>
  <si>
    <t>Clique no botão</t>
  </si>
  <si>
    <t>para voltar ao início.</t>
  </si>
  <si>
    <t>Autor:</t>
  </si>
  <si>
    <t>Fábio Rolim Bello</t>
  </si>
  <si>
    <t>Contato:</t>
  </si>
  <si>
    <t>51-980482452</t>
  </si>
</sst>
</file>

<file path=xl/styles.xml><?xml version="1.0" encoding="utf-8"?>
<styleSheet xmlns="http://schemas.openxmlformats.org/spreadsheetml/2006/main">
  <numFmts count="3">
    <numFmt numFmtId="164" formatCode="_(&quot;R$ &quot;* #,##0.00_);_(&quot;R$ &quot;* \(#,##0.00\);_(&quot;R$ &quot;* &quot;-&quot;??_);_(@_)"/>
    <numFmt numFmtId="165" formatCode="0.0%"/>
    <numFmt numFmtId="166" formatCode="0.0"/>
  </numFmts>
  <fonts count="38">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i/>
      <sz val="11"/>
      <color theme="1"/>
      <name val="Calibri"/>
      <family val="2"/>
      <scheme val="minor"/>
    </font>
    <font>
      <sz val="11"/>
      <color theme="0"/>
      <name val="Calibri"/>
      <family val="2"/>
    </font>
    <font>
      <b/>
      <i/>
      <sz val="11"/>
      <color rgb="FFFF0000"/>
      <name val="Calibri"/>
      <family val="2"/>
      <scheme val="minor"/>
    </font>
    <font>
      <b/>
      <sz val="16"/>
      <color theme="3"/>
      <name val="Calibri"/>
      <family val="2"/>
      <scheme val="minor"/>
    </font>
    <font>
      <b/>
      <sz val="18"/>
      <color rgb="FF002060"/>
      <name val="Calibri"/>
      <family val="2"/>
      <scheme val="minor"/>
    </font>
    <font>
      <b/>
      <sz val="18"/>
      <color theme="3"/>
      <name val="Calibri"/>
      <family val="2"/>
      <scheme val="minor"/>
    </font>
    <font>
      <b/>
      <sz val="16"/>
      <color theme="9" tint="-0.249977111117893"/>
      <name val="Calibri"/>
      <family val="2"/>
      <scheme val="minor"/>
    </font>
    <font>
      <b/>
      <sz val="11"/>
      <color theme="9" tint="-0.249977111117893"/>
      <name val="Calibri"/>
      <family val="2"/>
      <scheme val="minor"/>
    </font>
    <font>
      <b/>
      <i/>
      <sz val="11"/>
      <color theme="3"/>
      <name val="Calibri"/>
      <family val="2"/>
      <scheme val="minor"/>
    </font>
    <font>
      <u/>
      <sz val="11"/>
      <color theme="10"/>
      <name val="Calibri"/>
      <family val="2"/>
    </font>
    <font>
      <b/>
      <sz val="11"/>
      <color theme="3" tint="-0.249977111117893"/>
      <name val="Calibri"/>
      <family val="2"/>
      <scheme val="minor"/>
    </font>
    <font>
      <b/>
      <u/>
      <sz val="11"/>
      <color theme="3" tint="-0.249977111117893"/>
      <name val="Calibri"/>
      <family val="2"/>
    </font>
    <font>
      <b/>
      <i/>
      <sz val="11"/>
      <color theme="9" tint="-0.249977111117893"/>
      <name val="Calibri"/>
      <family val="2"/>
      <scheme val="minor"/>
    </font>
    <font>
      <b/>
      <sz val="10"/>
      <color theme="1"/>
      <name val="Calibri"/>
      <family val="2"/>
      <scheme val="minor"/>
    </font>
    <font>
      <b/>
      <sz val="9"/>
      <color theme="0"/>
      <name val="Calibri"/>
      <family val="2"/>
      <scheme val="minor"/>
    </font>
    <font>
      <b/>
      <sz val="14"/>
      <color theme="1"/>
      <name val="Calibri"/>
      <family val="2"/>
      <scheme val="minor"/>
    </font>
    <font>
      <b/>
      <sz val="11"/>
      <color theme="3"/>
      <name val="Calibri"/>
      <family val="2"/>
      <scheme val="minor"/>
    </font>
    <font>
      <b/>
      <sz val="11"/>
      <color rgb="FFFF0000"/>
      <name val="Calibri"/>
      <family val="2"/>
      <scheme val="minor"/>
    </font>
    <font>
      <b/>
      <sz val="11"/>
      <color theme="6" tint="-0.249977111117893"/>
      <name val="Calibri"/>
      <family val="2"/>
      <scheme val="minor"/>
    </font>
    <font>
      <b/>
      <sz val="9"/>
      <color theme="1"/>
      <name val="Calibri"/>
      <family val="2"/>
      <scheme val="minor"/>
    </font>
    <font>
      <u/>
      <sz val="11"/>
      <color theme="1"/>
      <name val="Calibri"/>
      <family val="2"/>
      <scheme val="minor"/>
    </font>
    <font>
      <sz val="11"/>
      <name val="Calibri"/>
      <family val="2"/>
      <scheme val="minor"/>
    </font>
    <font>
      <sz val="11"/>
      <name val="Calibri"/>
      <family val="2"/>
    </font>
    <font>
      <i/>
      <sz val="11"/>
      <name val="Calibri"/>
      <family val="2"/>
      <scheme val="minor"/>
    </font>
    <font>
      <sz val="10"/>
      <name val="Calibri"/>
      <family val="2"/>
      <scheme val="minor"/>
    </font>
    <font>
      <b/>
      <sz val="11"/>
      <color theme="0" tint="-0.249977111117893"/>
      <name val="Calibri"/>
      <family val="2"/>
      <scheme val="minor"/>
    </font>
    <font>
      <b/>
      <sz val="11"/>
      <name val="Calibri"/>
      <family val="2"/>
    </font>
    <font>
      <b/>
      <sz val="12"/>
      <color theme="1"/>
      <name val="Calibri"/>
      <family val="2"/>
      <scheme val="minor"/>
    </font>
    <font>
      <b/>
      <sz val="16"/>
      <color rgb="FFFF0000"/>
      <name val="Calibri"/>
      <family val="2"/>
      <scheme val="minor"/>
    </font>
    <font>
      <b/>
      <sz val="14"/>
      <color rgb="FFFF0000"/>
      <name val="Calibri"/>
      <family val="2"/>
      <scheme val="minor"/>
    </font>
    <font>
      <b/>
      <sz val="9"/>
      <name val="Calibri"/>
      <family val="2"/>
      <scheme val="minor"/>
    </font>
    <font>
      <sz val="11"/>
      <color theme="3"/>
      <name val="Calibri"/>
      <family val="2"/>
      <scheme val="minor"/>
    </font>
    <font>
      <b/>
      <sz val="9"/>
      <color theme="3"/>
      <name val="Calibri"/>
      <family val="2"/>
      <scheme val="minor"/>
    </font>
    <font>
      <b/>
      <i/>
      <sz val="16"/>
      <name val="Calibri"/>
      <family val="2"/>
      <scheme val="minor"/>
    </font>
  </fonts>
  <fills count="14">
    <fill>
      <patternFill patternType="none"/>
    </fill>
    <fill>
      <patternFill patternType="gray125"/>
    </fill>
    <fill>
      <patternFill patternType="solid">
        <fgColor theme="3" tint="-0.249977111117893"/>
        <bgColor indexed="64"/>
      </patternFill>
    </fill>
    <fill>
      <patternFill patternType="solid">
        <fgColor theme="2"/>
        <bgColor indexed="64"/>
      </patternFill>
    </fill>
    <fill>
      <patternFill patternType="solid">
        <fgColor theme="3"/>
        <bgColor indexed="64"/>
      </patternFill>
    </fill>
    <fill>
      <patternFill patternType="solid">
        <fgColor theme="9" tint="-0.249977111117893"/>
        <bgColor indexed="64"/>
      </patternFill>
    </fill>
    <fill>
      <patternFill patternType="solid">
        <fgColor theme="0"/>
        <bgColor indexed="64"/>
      </patternFill>
    </fill>
    <fill>
      <patternFill patternType="solid">
        <fgColor theme="8"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5" tint="-0.249977111117893"/>
        <bgColor indexed="64"/>
      </patternFill>
    </fill>
  </fills>
  <borders count="2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9" fontId="1" fillId="0" borderId="0" applyFont="0" applyFill="0" applyBorder="0" applyAlignment="0" applyProtection="0"/>
    <xf numFmtId="0" fontId="13" fillId="0" borderId="0" applyNumberFormat="0" applyFill="0" applyBorder="0" applyAlignment="0" applyProtection="0">
      <alignment vertical="top"/>
      <protection locked="0"/>
    </xf>
    <xf numFmtId="164" fontId="1" fillId="0" borderId="0" applyFont="0" applyFill="0" applyBorder="0" applyAlignment="0" applyProtection="0"/>
  </cellStyleXfs>
  <cellXfs count="182">
    <xf numFmtId="0" fontId="0" fillId="0" borderId="0" xfId="0"/>
    <xf numFmtId="0" fontId="3" fillId="0" borderId="0" xfId="0" applyFont="1"/>
    <xf numFmtId="0" fontId="4" fillId="0" borderId="0" xfId="0" applyFont="1" applyAlignment="1">
      <alignment wrapText="1"/>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49" fontId="0" fillId="0" borderId="0" xfId="0" applyNumberFormat="1"/>
    <xf numFmtId="0" fontId="0" fillId="0" borderId="0" xfId="0" applyAlignment="1"/>
    <xf numFmtId="49" fontId="3" fillId="0" borderId="0" xfId="0" applyNumberFormat="1" applyFont="1"/>
    <xf numFmtId="0" fontId="11" fillId="0" borderId="0" xfId="0" applyFont="1" applyAlignment="1">
      <alignment horizontal="center"/>
    </xf>
    <xf numFmtId="0" fontId="12" fillId="0" borderId="0" xfId="0" applyFont="1"/>
    <xf numFmtId="0" fontId="5" fillId="6" borderId="0" xfId="0" applyFont="1" applyFill="1"/>
    <xf numFmtId="0" fontId="0" fillId="0" borderId="7" xfId="0" applyBorder="1" applyAlignment="1">
      <alignment horizontal="center"/>
    </xf>
    <xf numFmtId="0" fontId="5" fillId="2" borderId="7" xfId="0" applyFont="1" applyFill="1" applyBorder="1"/>
    <xf numFmtId="0" fontId="0" fillId="0" borderId="7" xfId="0" applyBorder="1"/>
    <xf numFmtId="0" fontId="0" fillId="0" borderId="8" xfId="0" applyBorder="1"/>
    <xf numFmtId="0" fontId="3" fillId="0" borderId="7" xfId="0" applyFont="1" applyBorder="1" applyAlignment="1"/>
    <xf numFmtId="0" fontId="3" fillId="0" borderId="8" xfId="0" applyFont="1" applyBorder="1" applyAlignment="1"/>
    <xf numFmtId="22" fontId="0" fillId="0" borderId="7" xfId="0" applyNumberFormat="1" applyBorder="1"/>
    <xf numFmtId="0" fontId="0" fillId="3" borderId="7" xfId="0" applyFill="1" applyBorder="1"/>
    <xf numFmtId="3" fontId="0" fillId="3" borderId="7" xfId="0" applyNumberFormat="1" applyFill="1" applyBorder="1" applyAlignment="1">
      <alignment horizontal="center"/>
    </xf>
    <xf numFmtId="165" fontId="3" fillId="3" borderId="7" xfId="1" applyNumberFormat="1" applyFont="1" applyFill="1" applyBorder="1" applyAlignment="1">
      <alignment horizontal="center"/>
    </xf>
    <xf numFmtId="0" fontId="3" fillId="3" borderId="7" xfId="0" applyFont="1" applyFill="1" applyBorder="1"/>
    <xf numFmtId="3" fontId="3" fillId="3" borderId="7" xfId="0" applyNumberFormat="1" applyFont="1" applyFill="1" applyBorder="1" applyAlignment="1">
      <alignment horizontal="center"/>
    </xf>
    <xf numFmtId="0" fontId="2" fillId="4" borderId="7" xfId="0" applyFont="1" applyFill="1" applyBorder="1"/>
    <xf numFmtId="0" fontId="2" fillId="4" borderId="7" xfId="0" applyFont="1" applyFill="1" applyBorder="1" applyAlignment="1">
      <alignment horizontal="center"/>
    </xf>
    <xf numFmtId="49" fontId="11" fillId="0" borderId="0" xfId="0" applyNumberFormat="1" applyFont="1"/>
    <xf numFmtId="0" fontId="16" fillId="0" borderId="0" xfId="0" applyFont="1"/>
    <xf numFmtId="0" fontId="5" fillId="0" borderId="0" xfId="0" applyFont="1" applyFill="1" applyBorder="1" applyAlignment="1"/>
    <xf numFmtId="0" fontId="0" fillId="0" borderId="0" xfId="0" applyFill="1" applyBorder="1"/>
    <xf numFmtId="0" fontId="3" fillId="0" borderId="0" xfId="0" applyFont="1" applyFill="1" applyBorder="1"/>
    <xf numFmtId="0" fontId="3" fillId="0" borderId="0" xfId="0" applyFont="1" applyFill="1" applyBorder="1" applyAlignment="1"/>
    <xf numFmtId="0" fontId="0" fillId="0" borderId="0" xfId="0" applyFill="1" applyBorder="1" applyAlignment="1"/>
    <xf numFmtId="49" fontId="0" fillId="0" borderId="0" xfId="0" applyNumberFormat="1" applyFill="1" applyBorder="1"/>
    <xf numFmtId="0" fontId="0" fillId="0" borderId="7" xfId="0" applyFill="1" applyBorder="1" applyAlignment="1">
      <alignment horizontal="center"/>
    </xf>
    <xf numFmtId="0" fontId="0" fillId="0" borderId="7" xfId="0" applyNumberFormat="1" applyFill="1" applyBorder="1" applyAlignment="1">
      <alignment horizontal="center"/>
    </xf>
    <xf numFmtId="0" fontId="0" fillId="5" borderId="7" xfId="0" applyFont="1" applyFill="1" applyBorder="1" applyAlignment="1">
      <alignment horizontal="center"/>
    </xf>
    <xf numFmtId="0" fontId="18" fillId="4" borderId="7" xfId="0" applyFont="1" applyFill="1" applyBorder="1" applyAlignment="1">
      <alignment horizontal="center"/>
    </xf>
    <xf numFmtId="49" fontId="19" fillId="0" borderId="0" xfId="0" applyNumberFormat="1" applyFont="1" applyFill="1" applyBorder="1"/>
    <xf numFmtId="0" fontId="21" fillId="0" borderId="0" xfId="0" applyFont="1" applyFill="1" applyBorder="1"/>
    <xf numFmtId="0" fontId="20" fillId="0" borderId="0" xfId="0" applyFont="1" applyFill="1" applyBorder="1"/>
    <xf numFmtId="0" fontId="22" fillId="0" borderId="0" xfId="0" applyFont="1" applyFill="1" applyBorder="1"/>
    <xf numFmtId="0" fontId="11" fillId="0" borderId="0" xfId="0" applyFont="1" applyFill="1" applyBorder="1"/>
    <xf numFmtId="0" fontId="17" fillId="0" borderId="0" xfId="0" applyFont="1" applyFill="1" applyBorder="1" applyAlignment="1">
      <alignment vertical="center"/>
    </xf>
    <xf numFmtId="0" fontId="0" fillId="0" borderId="0" xfId="0" applyFont="1" applyFill="1" applyBorder="1" applyAlignment="1">
      <alignment horizontal="center"/>
    </xf>
    <xf numFmtId="0" fontId="0" fillId="0" borderId="0" xfId="0" applyNumberFormat="1" applyFont="1" applyFill="1" applyBorder="1" applyAlignment="1">
      <alignment horizontal="center"/>
    </xf>
    <xf numFmtId="0" fontId="0" fillId="0" borderId="0" xfId="0" applyFont="1" applyFill="1" applyBorder="1"/>
    <xf numFmtId="49" fontId="0" fillId="0" borderId="0" xfId="0" applyNumberFormat="1" applyFont="1" applyFill="1" applyBorder="1"/>
    <xf numFmtId="0" fontId="23" fillId="0" borderId="0" xfId="0" applyFont="1" applyFill="1" applyBorder="1" applyAlignment="1">
      <alignment horizontal="center"/>
    </xf>
    <xf numFmtId="0" fontId="3" fillId="0" borderId="0" xfId="0" applyFont="1" applyFill="1" applyBorder="1" applyAlignment="1">
      <alignment horizontal="center"/>
    </xf>
    <xf numFmtId="0" fontId="2" fillId="4" borderId="0" xfId="0" applyFont="1" applyFill="1" applyBorder="1"/>
    <xf numFmtId="0" fontId="2" fillId="4" borderId="0" xfId="0" applyFont="1" applyFill="1"/>
    <xf numFmtId="0" fontId="2" fillId="5" borderId="7" xfId="0" applyFont="1" applyFill="1" applyBorder="1" applyAlignment="1">
      <alignment horizontal="center"/>
    </xf>
    <xf numFmtId="49" fontId="3" fillId="0" borderId="0" xfId="0" applyNumberFormat="1" applyFont="1" applyFill="1" applyBorder="1" applyAlignment="1">
      <alignment horizontal="left"/>
    </xf>
    <xf numFmtId="166" fontId="2" fillId="5" borderId="7" xfId="0" applyNumberFormat="1" applyFont="1" applyFill="1" applyBorder="1" applyAlignment="1">
      <alignment horizontal="center"/>
    </xf>
    <xf numFmtId="0" fontId="0" fillId="0" borderId="0" xfId="0" pivotButton="1"/>
    <xf numFmtId="0" fontId="0" fillId="0" borderId="0" xfId="0" applyNumberFormat="1"/>
    <xf numFmtId="0" fontId="4" fillId="0" borderId="0" xfId="0" applyFont="1" applyAlignment="1">
      <alignment vertical="center" wrapText="1"/>
    </xf>
    <xf numFmtId="0" fontId="16" fillId="0" borderId="0" xfId="0" applyFont="1" applyAlignment="1">
      <alignment horizontal="left" vertical="center" wrapText="1"/>
    </xf>
    <xf numFmtId="0" fontId="25" fillId="0" borderId="0" xfId="0" applyFont="1" applyFill="1" applyBorder="1"/>
    <xf numFmtId="0" fontId="26" fillId="0" borderId="0" xfId="0" applyFont="1" applyFill="1" applyBorder="1"/>
    <xf numFmtId="0" fontId="26" fillId="0" borderId="0" xfId="0" applyFont="1" applyFill="1" applyBorder="1" applyAlignment="1"/>
    <xf numFmtId="0" fontId="25" fillId="0" borderId="0" xfId="0" applyFont="1" applyFill="1" applyBorder="1" applyAlignment="1">
      <alignment horizontal="center"/>
    </xf>
    <xf numFmtId="0" fontId="25" fillId="0" borderId="0" xfId="0" applyFont="1" applyFill="1" applyBorder="1" applyAlignment="1"/>
    <xf numFmtId="0" fontId="27" fillId="0" borderId="0" xfId="0" applyFont="1" applyFill="1" applyBorder="1"/>
    <xf numFmtId="0" fontId="28" fillId="0" borderId="0" xfId="0" applyFont="1" applyFill="1" applyBorder="1" applyAlignment="1">
      <alignment vertical="center"/>
    </xf>
    <xf numFmtId="0" fontId="16" fillId="0" borderId="0" xfId="0" applyFont="1" applyAlignment="1">
      <alignment horizontal="left" vertical="center" wrapText="1"/>
    </xf>
    <xf numFmtId="0" fontId="3" fillId="0" borderId="0" xfId="0" applyFont="1" applyAlignment="1">
      <alignment horizontal="center"/>
    </xf>
    <xf numFmtId="0" fontId="0" fillId="8" borderId="7" xfId="0" applyFill="1" applyBorder="1"/>
    <xf numFmtId="0" fontId="0" fillId="8" borderId="7" xfId="0" applyFill="1" applyBorder="1" applyAlignment="1">
      <alignment horizontal="center"/>
    </xf>
    <xf numFmtId="0" fontId="0" fillId="0" borderId="0" xfId="0" applyAlignment="1">
      <alignment horizontal="center"/>
    </xf>
    <xf numFmtId="0" fontId="21" fillId="0" borderId="0" xfId="0" applyFont="1" applyAlignment="1">
      <alignment horizontal="center"/>
    </xf>
    <xf numFmtId="0" fontId="29" fillId="0" borderId="0" xfId="0" applyFont="1" applyAlignment="1">
      <alignment horizontal="center"/>
    </xf>
    <xf numFmtId="0" fontId="30" fillId="8" borderId="7" xfId="0" applyFont="1" applyFill="1" applyBorder="1"/>
    <xf numFmtId="166" fontId="0" fillId="0" borderId="0" xfId="0" applyNumberFormat="1" applyAlignment="1">
      <alignment horizontal="center"/>
    </xf>
    <xf numFmtId="0" fontId="3" fillId="0" borderId="7" xfId="0" applyFont="1" applyBorder="1" applyAlignment="1">
      <alignment horizontal="center"/>
    </xf>
    <xf numFmtId="0" fontId="32" fillId="9" borderId="7" xfId="0" applyFont="1" applyFill="1" applyBorder="1" applyAlignment="1">
      <alignment horizontal="center" vertical="center"/>
    </xf>
    <xf numFmtId="49" fontId="3" fillId="0" borderId="0" xfId="0" applyNumberFormat="1" applyFont="1" applyBorder="1"/>
    <xf numFmtId="0" fontId="21" fillId="0" borderId="0" xfId="0" applyFont="1"/>
    <xf numFmtId="0" fontId="0" fillId="0" borderId="0" xfId="0" applyBorder="1"/>
    <xf numFmtId="0" fontId="3" fillId="5" borderId="7" xfId="0" applyFont="1" applyFill="1" applyBorder="1" applyAlignment="1">
      <alignment horizontal="center"/>
    </xf>
    <xf numFmtId="0" fontId="21" fillId="0" borderId="7" xfId="0" applyFont="1" applyBorder="1" applyAlignment="1">
      <alignment horizontal="center"/>
    </xf>
    <xf numFmtId="0" fontId="21" fillId="0" borderId="0" xfId="0" applyFont="1" applyBorder="1" applyAlignment="1">
      <alignment horizontal="center"/>
    </xf>
    <xf numFmtId="0" fontId="0" fillId="10" borderId="7" xfId="0" applyFill="1" applyBorder="1"/>
    <xf numFmtId="0" fontId="20" fillId="0" borderId="0" xfId="0" applyFont="1"/>
    <xf numFmtId="0" fontId="11" fillId="0" borderId="0" xfId="0" applyFont="1"/>
    <xf numFmtId="0" fontId="33" fillId="0" borderId="0" xfId="0" applyFont="1" applyAlignment="1">
      <alignment horizontal="center"/>
    </xf>
    <xf numFmtId="0" fontId="3" fillId="8" borderId="7" xfId="0" applyFont="1" applyFill="1" applyBorder="1" applyAlignment="1">
      <alignment horizontal="center"/>
    </xf>
    <xf numFmtId="0" fontId="0" fillId="8" borderId="17" xfId="0" applyFill="1" applyBorder="1"/>
    <xf numFmtId="0" fontId="0" fillId="8" borderId="18" xfId="0" applyFill="1" applyBorder="1"/>
    <xf numFmtId="0" fontId="34" fillId="7" borderId="7" xfId="0" applyFont="1" applyFill="1" applyBorder="1" applyAlignment="1">
      <alignment horizontal="center"/>
    </xf>
    <xf numFmtId="0" fontId="3" fillId="5" borderId="7" xfId="0" applyFont="1" applyFill="1" applyBorder="1"/>
    <xf numFmtId="0" fontId="35" fillId="12" borderId="7" xfId="0" applyFont="1" applyFill="1" applyBorder="1"/>
    <xf numFmtId="0" fontId="36" fillId="0" borderId="0" xfId="0" applyFont="1"/>
    <xf numFmtId="0" fontId="0" fillId="11" borderId="0" xfId="0" applyFill="1"/>
    <xf numFmtId="0" fontId="18" fillId="4" borderId="17" xfId="0" applyFont="1" applyFill="1" applyBorder="1"/>
    <xf numFmtId="0" fontId="18" fillId="4" borderId="20" xfId="0" applyFont="1" applyFill="1" applyBorder="1"/>
    <xf numFmtId="0" fontId="18" fillId="13" borderId="18" xfId="0" applyFont="1" applyFill="1" applyBorder="1" applyAlignment="1">
      <alignment horizontal="center"/>
    </xf>
    <xf numFmtId="0" fontId="0" fillId="0" borderId="9" xfId="0" applyBorder="1"/>
    <xf numFmtId="0" fontId="0" fillId="0" borderId="12" xfId="0" applyBorder="1"/>
    <xf numFmtId="0" fontId="0" fillId="0" borderId="14" xfId="0" applyBorder="1"/>
    <xf numFmtId="14" fontId="0" fillId="0" borderId="11" xfId="0" applyNumberFormat="1" applyBorder="1" applyAlignment="1">
      <alignment horizontal="center"/>
    </xf>
    <xf numFmtId="14" fontId="0" fillId="0" borderId="13" xfId="0" applyNumberFormat="1" applyBorder="1" applyAlignment="1">
      <alignment horizontal="center"/>
    </xf>
    <xf numFmtId="14" fontId="0" fillId="0" borderId="16" xfId="0" applyNumberFormat="1" applyBorder="1" applyAlignment="1">
      <alignment horizontal="center"/>
    </xf>
    <xf numFmtId="1" fontId="3" fillId="8" borderId="19" xfId="0" applyNumberFormat="1" applyFont="1" applyFill="1" applyBorder="1" applyAlignment="1">
      <alignment horizontal="center"/>
    </xf>
    <xf numFmtId="1" fontId="3" fillId="8" borderId="21" xfId="0" applyNumberFormat="1" applyFont="1" applyFill="1" applyBorder="1" applyAlignment="1">
      <alignment horizontal="center"/>
    </xf>
    <xf numFmtId="1" fontId="3" fillId="8" borderId="8" xfId="0" applyNumberFormat="1" applyFont="1" applyFill="1" applyBorder="1" applyAlignment="1">
      <alignment horizontal="center"/>
    </xf>
    <xf numFmtId="14" fontId="3" fillId="8" borderId="7" xfId="0" applyNumberFormat="1" applyFont="1" applyFill="1" applyBorder="1" applyAlignment="1">
      <alignment horizontal="center"/>
    </xf>
    <xf numFmtId="0" fontId="5" fillId="0" borderId="0" xfId="0" applyFont="1" applyFill="1" applyBorder="1"/>
    <xf numFmtId="0" fontId="0" fillId="0" borderId="0" xfId="0" applyFill="1" applyBorder="1" applyAlignment="1">
      <alignment horizontal="center"/>
    </xf>
    <xf numFmtId="0" fontId="5" fillId="2" borderId="7" xfId="0" applyFont="1" applyFill="1" applyBorder="1" applyAlignment="1">
      <alignment horizontal="center"/>
    </xf>
    <xf numFmtId="0" fontId="3" fillId="0" borderId="7" xfId="0" applyFont="1" applyFill="1" applyBorder="1"/>
    <xf numFmtId="164" fontId="3" fillId="0" borderId="7" xfId="0" applyNumberFormat="1" applyFont="1" applyBorder="1"/>
    <xf numFmtId="165" fontId="3" fillId="0" borderId="7" xfId="1" applyNumberFormat="1" applyFont="1" applyBorder="1" applyAlignment="1">
      <alignment horizontal="center"/>
    </xf>
    <xf numFmtId="0" fontId="11" fillId="0" borderId="7" xfId="0" applyFont="1" applyBorder="1"/>
    <xf numFmtId="164" fontId="21" fillId="0" borderId="7" xfId="3" applyFont="1" applyBorder="1"/>
    <xf numFmtId="165" fontId="14" fillId="0" borderId="7" xfId="1" applyNumberFormat="1" applyFont="1" applyBorder="1" applyAlignment="1">
      <alignment horizontal="center"/>
    </xf>
    <xf numFmtId="0" fontId="11" fillId="10" borderId="7" xfId="0" applyFont="1" applyFill="1" applyBorder="1"/>
    <xf numFmtId="164" fontId="21" fillId="10" borderId="7" xfId="3" applyFont="1" applyFill="1" applyBorder="1"/>
    <xf numFmtId="0" fontId="30" fillId="10" borderId="7" xfId="0" applyFont="1" applyFill="1" applyBorder="1" applyAlignment="1">
      <alignment horizontal="center"/>
    </xf>
    <xf numFmtId="0" fontId="31" fillId="0" borderId="0" xfId="0" applyFont="1"/>
    <xf numFmtId="0" fontId="3" fillId="0" borderId="7" xfId="0" applyFont="1" applyBorder="1" applyAlignment="1">
      <alignment horizontal="left"/>
    </xf>
    <xf numFmtId="0" fontId="19" fillId="0" borderId="0" xfId="0" applyFont="1"/>
    <xf numFmtId="0" fontId="4" fillId="0" borderId="0" xfId="0" applyFont="1" applyAlignment="1">
      <alignment horizontal="left" wrapText="1"/>
    </xf>
    <xf numFmtId="0" fontId="11" fillId="0" borderId="0" xfId="0" applyFont="1" applyAlignment="1">
      <alignment horizontal="center"/>
    </xf>
    <xf numFmtId="0" fontId="4" fillId="0" borderId="0" xfId="0" applyFont="1" applyAlignment="1">
      <alignment horizontal="left" vertical="center" wrapText="1"/>
    </xf>
    <xf numFmtId="0" fontId="5" fillId="5" borderId="7" xfId="0" applyFont="1" applyFill="1" applyBorder="1" applyAlignment="1">
      <alignment horizont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17" fillId="0" borderId="7" xfId="0" applyFont="1" applyFill="1" applyBorder="1" applyAlignment="1">
      <alignment horizontal="center" vertical="center" wrapText="1"/>
    </xf>
    <xf numFmtId="0" fontId="3" fillId="0" borderId="0" xfId="0" applyFont="1" applyAlignment="1">
      <alignment horizontal="left" wrapText="1"/>
    </xf>
    <xf numFmtId="0" fontId="16" fillId="0" borderId="0" xfId="0" applyFont="1" applyAlignment="1">
      <alignment horizontal="left"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0"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5" borderId="17" xfId="0" applyFont="1" applyFill="1" applyBorder="1" applyAlignment="1">
      <alignment horizontal="center"/>
    </xf>
    <xf numFmtId="0" fontId="3" fillId="5" borderId="18" xfId="0" applyFont="1" applyFill="1" applyBorder="1" applyAlignment="1">
      <alignment horizontal="center"/>
    </xf>
    <xf numFmtId="0" fontId="20" fillId="0" borderId="0" xfId="0" applyFont="1" applyAlignment="1">
      <alignment horizontal="left" vertical="top" wrapText="1"/>
    </xf>
    <xf numFmtId="0" fontId="3" fillId="0" borderId="9" xfId="0" applyFont="1" applyBorder="1" applyAlignment="1">
      <alignment horizontal="left" wrapText="1"/>
    </xf>
    <xf numFmtId="0" fontId="3" fillId="0" borderId="10" xfId="0" applyFont="1" applyBorder="1" applyAlignment="1">
      <alignment horizontal="left" wrapText="1"/>
    </xf>
    <xf numFmtId="0" fontId="3" fillId="0" borderId="11" xfId="0" applyFont="1" applyBorder="1" applyAlignment="1">
      <alignment horizontal="left" wrapText="1"/>
    </xf>
    <xf numFmtId="0" fontId="3" fillId="0" borderId="14" xfId="0" applyFont="1" applyBorder="1" applyAlignment="1">
      <alignment horizontal="left" wrapText="1"/>
    </xf>
    <xf numFmtId="0" fontId="3" fillId="0" borderId="15" xfId="0" applyFont="1" applyBorder="1" applyAlignment="1">
      <alignment horizontal="left" wrapText="1"/>
    </xf>
    <xf numFmtId="0" fontId="3" fillId="0" borderId="16" xfId="0" applyFont="1" applyBorder="1" applyAlignment="1">
      <alignment horizontal="left"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0" fillId="0" borderId="0" xfId="0" applyFill="1" applyProtection="1">
      <protection locked="0"/>
    </xf>
    <xf numFmtId="0" fontId="3" fillId="0" borderId="0" xfId="0" applyFont="1" applyFill="1" applyProtection="1">
      <protection locked="0"/>
    </xf>
    <xf numFmtId="0" fontId="21" fillId="0" borderId="0" xfId="0" applyFont="1" applyFill="1" applyAlignment="1" applyProtection="1">
      <alignment horizontal="right"/>
      <protection locked="0"/>
    </xf>
    <xf numFmtId="0" fontId="21" fillId="0" borderId="0" xfId="0" applyFont="1" applyFill="1" applyProtection="1">
      <protection locked="0"/>
    </xf>
    <xf numFmtId="0" fontId="0" fillId="0" borderId="0" xfId="0" applyFill="1" applyBorder="1" applyProtection="1">
      <protection locked="0"/>
    </xf>
    <xf numFmtId="0" fontId="24" fillId="0" borderId="0" xfId="0" applyFont="1" applyFill="1" applyProtection="1">
      <protection locked="0"/>
    </xf>
    <xf numFmtId="0" fontId="15" fillId="0" borderId="0" xfId="2" applyFont="1" applyFill="1" applyBorder="1" applyAlignment="1" applyProtection="1">
      <protection locked="0"/>
    </xf>
    <xf numFmtId="0" fontId="14" fillId="0" borderId="0" xfId="0" applyFont="1" applyFill="1" applyBorder="1" applyProtection="1">
      <protection locked="0"/>
    </xf>
    <xf numFmtId="0" fontId="0" fillId="0" borderId="0" xfId="0" applyProtection="1">
      <protection locked="0"/>
    </xf>
    <xf numFmtId="0" fontId="3" fillId="0" borderId="0" xfId="0" applyFont="1" applyFill="1" applyProtection="1"/>
    <xf numFmtId="0" fontId="0" fillId="0" borderId="0" xfId="0" applyFill="1" applyProtection="1"/>
  </cellXfs>
  <cellStyles count="4">
    <cellStyle name="Hyperlink" xfId="2" builtinId="8"/>
    <cellStyle name="Moeda" xfId="3" builtinId="4"/>
    <cellStyle name="Normal" xfId="0" builtinId="0"/>
    <cellStyle name="Porcentagem"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pt-BR"/>
  <c:chart>
    <c:title>
      <c:tx>
        <c:rich>
          <a:bodyPr/>
          <a:lstStyle/>
          <a:p>
            <a:pPr>
              <a:defRPr/>
            </a:pPr>
            <a:r>
              <a:rPr lang="pt-BR"/>
              <a:t>Vendas/Mês</a:t>
            </a:r>
          </a:p>
        </c:rich>
      </c:tx>
    </c:title>
    <c:plotArea>
      <c:layout/>
      <c:barChart>
        <c:barDir val="col"/>
        <c:grouping val="clustered"/>
        <c:ser>
          <c:idx val="0"/>
          <c:order val="0"/>
          <c:dLbls>
            <c:txPr>
              <a:bodyPr/>
              <a:lstStyle/>
              <a:p>
                <a:pPr>
                  <a:defRPr sz="800" b="1"/>
                </a:pPr>
                <a:endParaRPr lang="pt-BR"/>
              </a:p>
            </c:txPr>
            <c:dLblPos val="outEnd"/>
            <c:showVal val="1"/>
          </c:dLbls>
          <c:cat>
            <c:strRef>
              <c:f>grafico!$B$21:$B$29</c:f>
              <c:strCache>
                <c:ptCount val="9"/>
                <c:pt idx="0">
                  <c:v>Janeiro</c:v>
                </c:pt>
                <c:pt idx="1">
                  <c:v>Fevereiro</c:v>
                </c:pt>
                <c:pt idx="2">
                  <c:v>Março</c:v>
                </c:pt>
                <c:pt idx="3">
                  <c:v>Abril</c:v>
                </c:pt>
                <c:pt idx="4">
                  <c:v>Maio</c:v>
                </c:pt>
                <c:pt idx="5">
                  <c:v>Junho</c:v>
                </c:pt>
                <c:pt idx="6">
                  <c:v>Junho</c:v>
                </c:pt>
                <c:pt idx="7">
                  <c:v>Agosto</c:v>
                </c:pt>
                <c:pt idx="8">
                  <c:v>Setembro</c:v>
                </c:pt>
              </c:strCache>
            </c:strRef>
          </c:cat>
          <c:val>
            <c:numRef>
              <c:f>grafico!$C$21:$C$29</c:f>
              <c:numCache>
                <c:formatCode>_("R$ "* #,##0.00_);_("R$ "* \(#,##0.00\);_("R$ "* "-"??_);_(@_)</c:formatCode>
                <c:ptCount val="9"/>
                <c:pt idx="0">
                  <c:v>1000</c:v>
                </c:pt>
                <c:pt idx="1">
                  <c:v>1220</c:v>
                </c:pt>
                <c:pt idx="2">
                  <c:v>1530</c:v>
                </c:pt>
                <c:pt idx="3">
                  <c:v>1440</c:v>
                </c:pt>
                <c:pt idx="4">
                  <c:v>1300</c:v>
                </c:pt>
                <c:pt idx="5">
                  <c:v>2000</c:v>
                </c:pt>
                <c:pt idx="6">
                  <c:v>2100</c:v>
                </c:pt>
                <c:pt idx="7">
                  <c:v>1900</c:v>
                </c:pt>
                <c:pt idx="8">
                  <c:v>1850</c:v>
                </c:pt>
              </c:numCache>
            </c:numRef>
          </c:val>
        </c:ser>
        <c:dLbls>
          <c:showVal val="1"/>
        </c:dLbls>
        <c:axId val="58188544"/>
        <c:axId val="58190080"/>
      </c:barChart>
      <c:catAx>
        <c:axId val="58188544"/>
        <c:scaling>
          <c:orientation val="minMax"/>
        </c:scaling>
        <c:axPos val="b"/>
        <c:tickLblPos val="nextTo"/>
        <c:crossAx val="58190080"/>
        <c:crosses val="autoZero"/>
        <c:auto val="1"/>
        <c:lblAlgn val="ctr"/>
        <c:lblOffset val="100"/>
      </c:catAx>
      <c:valAx>
        <c:axId val="58190080"/>
        <c:scaling>
          <c:orientation val="minMax"/>
        </c:scaling>
        <c:delete val="1"/>
        <c:axPos val="l"/>
        <c:numFmt formatCode="_(&quot;R$ &quot;* #,##0.00_);_(&quot;R$ &quot;* \(#,##0.00\);_(&quot;R$ &quot;* &quot;-&quot;??_);_(@_)" sourceLinked="1"/>
        <c:tickLblPos val="none"/>
        <c:crossAx val="58188544"/>
        <c:crosses val="autoZero"/>
        <c:crossBetween val="between"/>
      </c:valAx>
    </c:plotArea>
    <c:plotVisOnly val="1"/>
    <c:dispBlanksAs val="gap"/>
  </c:chart>
  <c:printSettings>
    <c:headerFooter/>
    <c:pageMargins b="0.78740157499999996" l="0.511811024" r="0.511811024" t="0.78740157499999996" header="0.31496062000000025" footer="0.31496062000000025"/>
    <c:pageSetup/>
  </c:printSettings>
</c:chartSpace>
</file>

<file path=xl/drawings/_rels/drawing1.xml.rels><?xml version="1.0" encoding="UTF-8" standalone="yes"?>
<Relationships xmlns="http://schemas.openxmlformats.org/package/2006/relationships"><Relationship Id="rId8" Type="http://schemas.openxmlformats.org/officeDocument/2006/relationships/hyperlink" Target="#'Tabela dinamica'!A1"/><Relationship Id="rId13" Type="http://schemas.openxmlformats.org/officeDocument/2006/relationships/hyperlink" Target="#'guia planilha'!A1"/><Relationship Id="rId18" Type="http://schemas.openxmlformats.org/officeDocument/2006/relationships/hyperlink" Target="#Cont.se!A1"/><Relationship Id="rId3" Type="http://schemas.openxmlformats.org/officeDocument/2006/relationships/hyperlink" Target="#concatenar!A1"/><Relationship Id="rId21" Type="http://schemas.openxmlformats.org/officeDocument/2006/relationships/hyperlink" Target="#Direita!A1"/><Relationship Id="rId7" Type="http://schemas.openxmlformats.org/officeDocument/2006/relationships/hyperlink" Target="#Soma!A1"/><Relationship Id="rId12" Type="http://schemas.openxmlformats.org/officeDocument/2006/relationships/hyperlink" Target="#grafico!A1"/><Relationship Id="rId17" Type="http://schemas.openxmlformats.org/officeDocument/2006/relationships/hyperlink" Target="#M&#237;nimo!A1"/><Relationship Id="rId25" Type="http://schemas.openxmlformats.org/officeDocument/2006/relationships/hyperlink" Target="#Capa!A1"/><Relationship Id="rId2" Type="http://schemas.openxmlformats.org/officeDocument/2006/relationships/hyperlink" Target="#'calculo %'!A1"/><Relationship Id="rId16" Type="http://schemas.openxmlformats.org/officeDocument/2006/relationships/hyperlink" Target="#M&#225;ximo!A1"/><Relationship Id="rId20" Type="http://schemas.openxmlformats.org/officeDocument/2006/relationships/hyperlink" Target="#congelar!A1"/><Relationship Id="rId1" Type="http://schemas.openxmlformats.org/officeDocument/2006/relationships/hyperlink" Target="#autofiltro!A1"/><Relationship Id="rId6" Type="http://schemas.openxmlformats.org/officeDocument/2006/relationships/hyperlink" Target="#SE!A1"/><Relationship Id="rId11" Type="http://schemas.openxmlformats.org/officeDocument/2006/relationships/hyperlink" Target="#hoje!A1"/><Relationship Id="rId24" Type="http://schemas.openxmlformats.org/officeDocument/2006/relationships/image" Target="../media/image1.png"/><Relationship Id="rId5" Type="http://schemas.openxmlformats.org/officeDocument/2006/relationships/hyperlink" Target="#ProtPlan!A1"/><Relationship Id="rId15" Type="http://schemas.openxmlformats.org/officeDocument/2006/relationships/hyperlink" Target="#Esquerda!A1"/><Relationship Id="rId23" Type="http://schemas.openxmlformats.org/officeDocument/2006/relationships/hyperlink" Target="#Menor!A1"/><Relationship Id="rId10" Type="http://schemas.openxmlformats.org/officeDocument/2006/relationships/hyperlink" Target="#hiperlink!A1"/><Relationship Id="rId19" Type="http://schemas.openxmlformats.org/officeDocument/2006/relationships/hyperlink" Target="#cont.num!A1"/><Relationship Id="rId4" Type="http://schemas.openxmlformats.org/officeDocument/2006/relationships/hyperlink" Target="#procv!A1"/><Relationship Id="rId9" Type="http://schemas.openxmlformats.org/officeDocument/2006/relationships/hyperlink" Target="#valida&#231;&#227;o!A1"/><Relationship Id="rId14" Type="http://schemas.openxmlformats.org/officeDocument/2006/relationships/hyperlink" Target="#media!A1"/><Relationship Id="rId22" Type="http://schemas.openxmlformats.org/officeDocument/2006/relationships/hyperlink" Target="#Maior!A1"/></Relationships>
</file>

<file path=xl/drawings/_rels/drawing2.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hyperlink" Target="#Capa!A1"/></Relationships>
</file>

<file path=xl/drawings/_rels/drawing4.xml.rels><?xml version="1.0" encoding="UTF-8" standalone="yes"?>
<Relationships xmlns="http://schemas.openxmlformats.org/package/2006/relationships"><Relationship Id="rId1" Type="http://schemas.openxmlformats.org/officeDocument/2006/relationships/hyperlink" Target="#Capa!A1"/></Relationships>
</file>

<file path=xl/drawings/_rels/drawing5.xml.rels><?xml version="1.0" encoding="UTF-8" standalone="yes"?>
<Relationships xmlns="http://schemas.openxmlformats.org/package/2006/relationships"><Relationship Id="rId1" Type="http://schemas.openxmlformats.org/officeDocument/2006/relationships/hyperlink" Target="#Capa!A1"/></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Capa!A1"/></Relationships>
</file>

<file path=xl/drawings/_rels/drawing7.xml.rels><?xml version="1.0" encoding="UTF-8" standalone="yes"?>
<Relationships xmlns="http://schemas.openxmlformats.org/package/2006/relationships"><Relationship Id="rId1" Type="http://schemas.openxmlformats.org/officeDocument/2006/relationships/hyperlink" Target="#Capa!A1"/></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apa!A1"/></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2.png"/><Relationship Id="rId2" Type="http://schemas.openxmlformats.org/officeDocument/2006/relationships/hyperlink" Target="#Capa!A1"/><Relationship Id="rId1" Type="http://schemas.openxmlformats.org/officeDocument/2006/relationships/image" Target="../media/image8.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2.png"/><Relationship Id="rId2" Type="http://schemas.openxmlformats.org/officeDocument/2006/relationships/hyperlink" Target="#Capa!A1"/><Relationship Id="rId1" Type="http://schemas.openxmlformats.org/officeDocument/2006/relationships/image" Target="../media/image8.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hyperlink" Target="#Capa!A1"/></Relationships>
</file>

<file path=xl/drawings/_rels/drawing1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Capa!A1"/><Relationship Id="rId1" Type="http://schemas.openxmlformats.org/officeDocument/2006/relationships/image" Target="../media/image8.png"/><Relationship Id="rId5" Type="http://schemas.openxmlformats.org/officeDocument/2006/relationships/image" Target="../media/image10.png"/><Relationship Id="rId4" Type="http://schemas.openxmlformats.org/officeDocument/2006/relationships/image" Target="../media/image9.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2.png"/><Relationship Id="rId2" Type="http://schemas.openxmlformats.org/officeDocument/2006/relationships/hyperlink" Target="#Capa!A1"/><Relationship Id="rId1" Type="http://schemas.openxmlformats.org/officeDocument/2006/relationships/image" Target="../media/image8.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1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Capa!A1"/><Relationship Id="rId1" Type="http://schemas.openxmlformats.org/officeDocument/2006/relationships/image" Target="../media/image8.png"/><Relationship Id="rId4"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Capa!A1"/><Relationship Id="rId1" Type="http://schemas.openxmlformats.org/officeDocument/2006/relationships/image" Target="../media/image8.png"/><Relationship Id="rId4"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Capa!A1"/><Relationship Id="rId1" Type="http://schemas.openxmlformats.org/officeDocument/2006/relationships/image" Target="../media/image8.png"/><Relationship Id="rId4"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Capa!A1"/><Relationship Id="rId1" Type="http://schemas.openxmlformats.org/officeDocument/2006/relationships/image" Target="../media/image8.png"/><Relationship Id="rId5" Type="http://schemas.openxmlformats.org/officeDocument/2006/relationships/image" Target="../media/image10.png"/><Relationship Id="rId4" Type="http://schemas.openxmlformats.org/officeDocument/2006/relationships/image" Target="../media/image9.png"/></Relationships>
</file>

<file path=xl/drawings/_rels/drawing1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Capa!A1"/><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0.png"/><Relationship Id="rId4" Type="http://schemas.openxmlformats.org/officeDocument/2006/relationships/image" Target="../media/image9.png"/></Relationships>
</file>

<file path=xl/drawings/_rels/drawing19.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hyperlink" Target="#Capa!A1"/><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14.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7.png"/></Relationships>
</file>

<file path=xl/drawings/_rels/drawing20.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hyperlink" Target="#Capa!A1"/><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14.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7.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hyperlink" Target="#Capa!A1"/></Relationships>
</file>

<file path=xl/drawings/_rels/drawing2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Capa!A1"/><Relationship Id="rId1" Type="http://schemas.openxmlformats.org/officeDocument/2006/relationships/image" Target="../media/image8.png"/></Relationships>
</file>

<file path=xl/drawings/_rels/drawing23.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7.png"/><Relationship Id="rId7" Type="http://schemas.openxmlformats.org/officeDocument/2006/relationships/image" Target="../media/image18.png"/><Relationship Id="rId2" Type="http://schemas.openxmlformats.org/officeDocument/2006/relationships/hyperlink" Target="#Capa!A1"/><Relationship Id="rId1" Type="http://schemas.openxmlformats.org/officeDocument/2006/relationships/image" Target="../media/image8.png"/><Relationship Id="rId6" Type="http://schemas.openxmlformats.org/officeDocument/2006/relationships/chart" Target="../charts/chart1.xml"/><Relationship Id="rId5"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7.png"/><Relationship Id="rId7" Type="http://schemas.openxmlformats.org/officeDocument/2006/relationships/image" Target="../media/image22.png"/><Relationship Id="rId2" Type="http://schemas.openxmlformats.org/officeDocument/2006/relationships/hyperlink" Target="#Capa!A1"/><Relationship Id="rId1" Type="http://schemas.openxmlformats.org/officeDocument/2006/relationships/image" Target="../media/image8.png"/><Relationship Id="rId6" Type="http://schemas.openxmlformats.org/officeDocument/2006/relationships/image" Target="../media/image21.png"/><Relationship Id="rId5"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9525</xdr:colOff>
      <xdr:row>6</xdr:row>
      <xdr:rowOff>161925</xdr:rowOff>
    </xdr:from>
    <xdr:to>
      <xdr:col>10</xdr:col>
      <xdr:colOff>533400</xdr:colOff>
      <xdr:row>23</xdr:row>
      <xdr:rowOff>47625</xdr:rowOff>
    </xdr:to>
    <xdr:sp macro="" textlink="">
      <xdr:nvSpPr>
        <xdr:cNvPr id="7" name="Retângulo de cantos arredondados 6"/>
        <xdr:cNvSpPr/>
      </xdr:nvSpPr>
      <xdr:spPr>
        <a:xfrm>
          <a:off x="866775" y="1304925"/>
          <a:ext cx="5400675" cy="3124200"/>
        </a:xfrm>
        <a:prstGeom prst="roundRect">
          <a:avLst/>
        </a:prstGeom>
      </xdr:spPr>
      <xdr:style>
        <a:lnRef idx="1">
          <a:schemeClr val="dk1"/>
        </a:lnRef>
        <a:fillRef idx="2">
          <a:schemeClr val="dk1"/>
        </a:fillRef>
        <a:effectRef idx="1">
          <a:schemeClr val="dk1"/>
        </a:effectRef>
        <a:fontRef idx="minor">
          <a:schemeClr val="dk1"/>
        </a:fontRef>
      </xdr:style>
      <xdr:txBody>
        <a:bodyPr rtlCol="0" anchor="t" anchorCtr="0"/>
        <a:lstStyle/>
        <a:p>
          <a:pPr algn="l"/>
          <a:endParaRPr lang="pt-BR" sz="1100"/>
        </a:p>
      </xdr:txBody>
    </xdr:sp>
    <xdr:clientData/>
  </xdr:twoCellAnchor>
  <xdr:twoCellAnchor>
    <xdr:from>
      <xdr:col>0</xdr:col>
      <xdr:colOff>152400</xdr:colOff>
      <xdr:row>0</xdr:row>
      <xdr:rowOff>104775</xdr:rowOff>
    </xdr:from>
    <xdr:to>
      <xdr:col>16</xdr:col>
      <xdr:colOff>541020</xdr:colOff>
      <xdr:row>3</xdr:row>
      <xdr:rowOff>95250</xdr:rowOff>
    </xdr:to>
    <xdr:sp macro="" textlink="">
      <xdr:nvSpPr>
        <xdr:cNvPr id="4" name="Retângulo 3"/>
        <xdr:cNvSpPr/>
      </xdr:nvSpPr>
      <xdr:spPr>
        <a:xfrm>
          <a:off x="152400" y="104775"/>
          <a:ext cx="10012680" cy="53911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 2010</a:t>
          </a:r>
        </a:p>
      </xdr:txBody>
    </xdr:sp>
    <xdr:clientData/>
  </xdr:twoCellAnchor>
  <xdr:twoCellAnchor>
    <xdr:from>
      <xdr:col>3</xdr:col>
      <xdr:colOff>19050</xdr:colOff>
      <xdr:row>11</xdr:row>
      <xdr:rowOff>66676</xdr:rowOff>
    </xdr:from>
    <xdr:to>
      <xdr:col>5</xdr:col>
      <xdr:colOff>47625</xdr:colOff>
      <xdr:row>12</xdr:row>
      <xdr:rowOff>152401</xdr:rowOff>
    </xdr:to>
    <xdr:sp macro="" textlink="">
      <xdr:nvSpPr>
        <xdr:cNvPr id="11" name="Pentágono 10">
          <a:hlinkClick xmlns:r="http://schemas.openxmlformats.org/officeDocument/2006/relationships" r:id="rId1"/>
        </xdr:cNvPr>
        <xdr:cNvSpPr/>
      </xdr:nvSpPr>
      <xdr:spPr>
        <a:xfrm>
          <a:off x="1485900" y="2162176"/>
          <a:ext cx="1247775" cy="276225"/>
        </a:xfrm>
        <a:prstGeom prst="homePlate">
          <a:avLst/>
        </a:prstGeom>
        <a:solidFill>
          <a:schemeClr val="accent3">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100" b="1">
              <a:solidFill>
                <a:schemeClr val="bg1"/>
              </a:solidFill>
            </a:rPr>
            <a:t>Auto Filtro</a:t>
          </a:r>
        </a:p>
      </xdr:txBody>
    </xdr:sp>
    <xdr:clientData/>
  </xdr:twoCellAnchor>
  <xdr:twoCellAnchor>
    <xdr:from>
      <xdr:col>5</xdr:col>
      <xdr:colOff>342900</xdr:colOff>
      <xdr:row>7</xdr:row>
      <xdr:rowOff>128588</xdr:rowOff>
    </xdr:from>
    <xdr:to>
      <xdr:col>7</xdr:col>
      <xdr:colOff>371475</xdr:colOff>
      <xdr:row>9</xdr:row>
      <xdr:rowOff>23813</xdr:rowOff>
    </xdr:to>
    <xdr:sp macro="" textlink="">
      <xdr:nvSpPr>
        <xdr:cNvPr id="12" name="Pentágono 11">
          <a:hlinkClick xmlns:r="http://schemas.openxmlformats.org/officeDocument/2006/relationships" r:id="rId2"/>
        </xdr:cNvPr>
        <xdr:cNvSpPr/>
      </xdr:nvSpPr>
      <xdr:spPr>
        <a:xfrm>
          <a:off x="3028950" y="1462088"/>
          <a:ext cx="1247775" cy="276225"/>
        </a:xfrm>
        <a:prstGeom prst="homePlate">
          <a:avLst/>
        </a:prstGeom>
        <a:solidFill>
          <a:schemeClr val="tx2"/>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Cálculo</a:t>
          </a:r>
          <a:r>
            <a:rPr lang="pt-BR" sz="1000" b="1" baseline="0">
              <a:solidFill>
                <a:schemeClr val="bg1"/>
              </a:solidFill>
            </a:rPr>
            <a:t> Percentual</a:t>
          </a:r>
          <a:endParaRPr lang="pt-BR" sz="1000" b="1">
            <a:solidFill>
              <a:schemeClr val="bg1"/>
            </a:solidFill>
          </a:endParaRPr>
        </a:p>
      </xdr:txBody>
    </xdr:sp>
    <xdr:clientData/>
  </xdr:twoCellAnchor>
  <xdr:twoCellAnchor>
    <xdr:from>
      <xdr:col>3</xdr:col>
      <xdr:colOff>19050</xdr:colOff>
      <xdr:row>18</xdr:row>
      <xdr:rowOff>133350</xdr:rowOff>
    </xdr:from>
    <xdr:to>
      <xdr:col>5</xdr:col>
      <xdr:colOff>47625</xdr:colOff>
      <xdr:row>20</xdr:row>
      <xdr:rowOff>28575</xdr:rowOff>
    </xdr:to>
    <xdr:sp macro="" textlink="">
      <xdr:nvSpPr>
        <xdr:cNvPr id="13" name="Pentágono 12">
          <a:hlinkClick xmlns:r="http://schemas.openxmlformats.org/officeDocument/2006/relationships" r:id="rId3"/>
        </xdr:cNvPr>
        <xdr:cNvSpPr/>
      </xdr:nvSpPr>
      <xdr:spPr>
        <a:xfrm>
          <a:off x="1485900" y="3562350"/>
          <a:ext cx="1247775" cy="276225"/>
        </a:xfrm>
        <a:prstGeom prst="homePlate">
          <a:avLst/>
        </a:prstGeom>
        <a:solidFill>
          <a:schemeClr val="accent3">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Função Concatenar</a:t>
          </a:r>
        </a:p>
      </xdr:txBody>
    </xdr:sp>
    <xdr:clientData/>
  </xdr:twoCellAnchor>
  <xdr:twoCellAnchor>
    <xdr:from>
      <xdr:col>8</xdr:col>
      <xdr:colOff>4763</xdr:colOff>
      <xdr:row>9</xdr:row>
      <xdr:rowOff>97972</xdr:rowOff>
    </xdr:from>
    <xdr:to>
      <xdr:col>10</xdr:col>
      <xdr:colOff>33338</xdr:colOff>
      <xdr:row>10</xdr:row>
      <xdr:rowOff>183697</xdr:rowOff>
    </xdr:to>
    <xdr:sp macro="" textlink="">
      <xdr:nvSpPr>
        <xdr:cNvPr id="14" name="Pentágono 13">
          <a:hlinkClick xmlns:r="http://schemas.openxmlformats.org/officeDocument/2006/relationships" r:id="rId4"/>
        </xdr:cNvPr>
        <xdr:cNvSpPr/>
      </xdr:nvSpPr>
      <xdr:spPr>
        <a:xfrm>
          <a:off x="4519613" y="1812472"/>
          <a:ext cx="1247775" cy="276225"/>
        </a:xfrm>
        <a:prstGeom prst="homePlate">
          <a:avLst/>
        </a:prstGeom>
        <a:solidFill>
          <a:schemeClr val="accent6">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100" b="1">
              <a:solidFill>
                <a:schemeClr val="bg1"/>
              </a:solidFill>
            </a:rPr>
            <a:t>Função Procv</a:t>
          </a:r>
        </a:p>
      </xdr:txBody>
    </xdr:sp>
    <xdr:clientData/>
  </xdr:twoCellAnchor>
  <xdr:twoCellAnchor>
    <xdr:from>
      <xdr:col>3</xdr:col>
      <xdr:colOff>19050</xdr:colOff>
      <xdr:row>9</xdr:row>
      <xdr:rowOff>97632</xdr:rowOff>
    </xdr:from>
    <xdr:to>
      <xdr:col>5</xdr:col>
      <xdr:colOff>47625</xdr:colOff>
      <xdr:row>10</xdr:row>
      <xdr:rowOff>183357</xdr:rowOff>
    </xdr:to>
    <xdr:sp macro="" textlink="">
      <xdr:nvSpPr>
        <xdr:cNvPr id="15" name="Pentágono 14">
          <a:hlinkClick xmlns:r="http://schemas.openxmlformats.org/officeDocument/2006/relationships" r:id="rId5"/>
        </xdr:cNvPr>
        <xdr:cNvSpPr/>
      </xdr:nvSpPr>
      <xdr:spPr>
        <a:xfrm>
          <a:off x="1485900" y="1812132"/>
          <a:ext cx="1247775" cy="276225"/>
        </a:xfrm>
        <a:prstGeom prst="homePlate">
          <a:avLst/>
        </a:prstGeom>
        <a:solidFill>
          <a:schemeClr val="accent3">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100" b="1">
              <a:solidFill>
                <a:schemeClr val="bg1"/>
              </a:solidFill>
            </a:rPr>
            <a:t>Proteger Planilha</a:t>
          </a:r>
        </a:p>
      </xdr:txBody>
    </xdr:sp>
    <xdr:clientData/>
  </xdr:twoCellAnchor>
  <xdr:twoCellAnchor>
    <xdr:from>
      <xdr:col>8</xdr:col>
      <xdr:colOff>4763</xdr:colOff>
      <xdr:row>11</xdr:row>
      <xdr:rowOff>67356</xdr:rowOff>
    </xdr:from>
    <xdr:to>
      <xdr:col>10</xdr:col>
      <xdr:colOff>33338</xdr:colOff>
      <xdr:row>12</xdr:row>
      <xdr:rowOff>153081</xdr:rowOff>
    </xdr:to>
    <xdr:sp macro="" textlink="">
      <xdr:nvSpPr>
        <xdr:cNvPr id="16" name="Pentágono 15">
          <a:hlinkClick xmlns:r="http://schemas.openxmlformats.org/officeDocument/2006/relationships" r:id="rId6"/>
        </xdr:cNvPr>
        <xdr:cNvSpPr/>
      </xdr:nvSpPr>
      <xdr:spPr>
        <a:xfrm>
          <a:off x="4519613" y="2162856"/>
          <a:ext cx="1247775" cy="276225"/>
        </a:xfrm>
        <a:prstGeom prst="homePlate">
          <a:avLst/>
        </a:prstGeom>
        <a:solidFill>
          <a:schemeClr val="accent6">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100" b="1">
              <a:solidFill>
                <a:schemeClr val="bg1"/>
              </a:solidFill>
            </a:rPr>
            <a:t>Função Se</a:t>
          </a:r>
        </a:p>
      </xdr:txBody>
    </xdr:sp>
    <xdr:clientData/>
  </xdr:twoCellAnchor>
  <xdr:twoCellAnchor>
    <xdr:from>
      <xdr:col>8</xdr:col>
      <xdr:colOff>4763</xdr:colOff>
      <xdr:row>13</xdr:row>
      <xdr:rowOff>36740</xdr:rowOff>
    </xdr:from>
    <xdr:to>
      <xdr:col>10</xdr:col>
      <xdr:colOff>33338</xdr:colOff>
      <xdr:row>14</xdr:row>
      <xdr:rowOff>122465</xdr:rowOff>
    </xdr:to>
    <xdr:sp macro="" textlink="">
      <xdr:nvSpPr>
        <xdr:cNvPr id="17" name="Pentágono 16">
          <a:hlinkClick xmlns:r="http://schemas.openxmlformats.org/officeDocument/2006/relationships" r:id="rId7"/>
        </xdr:cNvPr>
        <xdr:cNvSpPr/>
      </xdr:nvSpPr>
      <xdr:spPr>
        <a:xfrm>
          <a:off x="4519613" y="2513240"/>
          <a:ext cx="1247775" cy="276225"/>
        </a:xfrm>
        <a:prstGeom prst="homePlate">
          <a:avLst/>
        </a:prstGeom>
        <a:solidFill>
          <a:schemeClr val="accent6">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100" b="1">
              <a:solidFill>
                <a:schemeClr val="bg1"/>
              </a:solidFill>
            </a:rPr>
            <a:t>Função Soma</a:t>
          </a:r>
        </a:p>
      </xdr:txBody>
    </xdr:sp>
    <xdr:clientData/>
  </xdr:twoCellAnchor>
  <xdr:twoCellAnchor>
    <xdr:from>
      <xdr:col>8</xdr:col>
      <xdr:colOff>4763</xdr:colOff>
      <xdr:row>15</xdr:row>
      <xdr:rowOff>6124</xdr:rowOff>
    </xdr:from>
    <xdr:to>
      <xdr:col>10</xdr:col>
      <xdr:colOff>33338</xdr:colOff>
      <xdr:row>16</xdr:row>
      <xdr:rowOff>91849</xdr:rowOff>
    </xdr:to>
    <xdr:sp macro="" textlink="">
      <xdr:nvSpPr>
        <xdr:cNvPr id="18" name="Pentágono 17">
          <a:hlinkClick xmlns:r="http://schemas.openxmlformats.org/officeDocument/2006/relationships" r:id="rId8"/>
        </xdr:cNvPr>
        <xdr:cNvSpPr/>
      </xdr:nvSpPr>
      <xdr:spPr>
        <a:xfrm>
          <a:off x="4519613" y="2863624"/>
          <a:ext cx="1247775" cy="276225"/>
        </a:xfrm>
        <a:prstGeom prst="homePlate">
          <a:avLst/>
        </a:prstGeom>
        <a:solidFill>
          <a:schemeClr val="accent6">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100" b="1">
              <a:solidFill>
                <a:schemeClr val="bg1"/>
              </a:solidFill>
            </a:rPr>
            <a:t>Tabela Dinâmica</a:t>
          </a:r>
        </a:p>
      </xdr:txBody>
    </xdr:sp>
    <xdr:clientData/>
  </xdr:twoCellAnchor>
  <xdr:twoCellAnchor>
    <xdr:from>
      <xdr:col>3</xdr:col>
      <xdr:colOff>19050</xdr:colOff>
      <xdr:row>15</xdr:row>
      <xdr:rowOff>4764</xdr:rowOff>
    </xdr:from>
    <xdr:to>
      <xdr:col>5</xdr:col>
      <xdr:colOff>47625</xdr:colOff>
      <xdr:row>16</xdr:row>
      <xdr:rowOff>90489</xdr:rowOff>
    </xdr:to>
    <xdr:sp macro="" textlink="">
      <xdr:nvSpPr>
        <xdr:cNvPr id="20" name="Pentágono 19">
          <a:hlinkClick xmlns:r="http://schemas.openxmlformats.org/officeDocument/2006/relationships" r:id="rId9"/>
        </xdr:cNvPr>
        <xdr:cNvSpPr/>
      </xdr:nvSpPr>
      <xdr:spPr>
        <a:xfrm>
          <a:off x="1485900" y="2862264"/>
          <a:ext cx="1247775" cy="276225"/>
        </a:xfrm>
        <a:prstGeom prst="homePlate">
          <a:avLst/>
        </a:prstGeom>
        <a:solidFill>
          <a:schemeClr val="accent3">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Validação de Dados</a:t>
          </a:r>
        </a:p>
      </xdr:txBody>
    </xdr:sp>
    <xdr:clientData/>
  </xdr:twoCellAnchor>
  <xdr:twoCellAnchor>
    <xdr:from>
      <xdr:col>3</xdr:col>
      <xdr:colOff>19050</xdr:colOff>
      <xdr:row>7</xdr:row>
      <xdr:rowOff>128588</xdr:rowOff>
    </xdr:from>
    <xdr:to>
      <xdr:col>5</xdr:col>
      <xdr:colOff>47625</xdr:colOff>
      <xdr:row>9</xdr:row>
      <xdr:rowOff>23813</xdr:rowOff>
    </xdr:to>
    <xdr:sp macro="" textlink="">
      <xdr:nvSpPr>
        <xdr:cNvPr id="22" name="Pentágono 21">
          <a:hlinkClick xmlns:r="http://schemas.openxmlformats.org/officeDocument/2006/relationships" r:id="rId10"/>
        </xdr:cNvPr>
        <xdr:cNvSpPr/>
      </xdr:nvSpPr>
      <xdr:spPr>
        <a:xfrm>
          <a:off x="1485900" y="1462088"/>
          <a:ext cx="1247775" cy="276225"/>
        </a:xfrm>
        <a:prstGeom prst="homePlate">
          <a:avLst/>
        </a:prstGeom>
        <a:solidFill>
          <a:schemeClr val="accent3">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100" b="1">
              <a:solidFill>
                <a:schemeClr val="bg1"/>
              </a:solidFill>
            </a:rPr>
            <a:t>Hiperlink</a:t>
          </a:r>
        </a:p>
      </xdr:txBody>
    </xdr:sp>
    <xdr:clientData/>
  </xdr:twoCellAnchor>
  <xdr:twoCellAnchor>
    <xdr:from>
      <xdr:col>5</xdr:col>
      <xdr:colOff>342900</xdr:colOff>
      <xdr:row>9</xdr:row>
      <xdr:rowOff>96611</xdr:rowOff>
    </xdr:from>
    <xdr:to>
      <xdr:col>7</xdr:col>
      <xdr:colOff>371475</xdr:colOff>
      <xdr:row>10</xdr:row>
      <xdr:rowOff>182336</xdr:rowOff>
    </xdr:to>
    <xdr:sp macro="" textlink="">
      <xdr:nvSpPr>
        <xdr:cNvPr id="23" name="Pentágono 22">
          <a:hlinkClick xmlns:r="http://schemas.openxmlformats.org/officeDocument/2006/relationships" r:id="rId11"/>
        </xdr:cNvPr>
        <xdr:cNvSpPr/>
      </xdr:nvSpPr>
      <xdr:spPr>
        <a:xfrm>
          <a:off x="3028950" y="1811111"/>
          <a:ext cx="1247775" cy="276225"/>
        </a:xfrm>
        <a:prstGeom prst="homePlate">
          <a:avLst/>
        </a:prstGeom>
        <a:solidFill>
          <a:schemeClr val="tx2"/>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Função Hoje</a:t>
          </a:r>
        </a:p>
      </xdr:txBody>
    </xdr:sp>
    <xdr:clientData/>
  </xdr:twoCellAnchor>
  <xdr:twoCellAnchor>
    <xdr:from>
      <xdr:col>8</xdr:col>
      <xdr:colOff>4763</xdr:colOff>
      <xdr:row>18</xdr:row>
      <xdr:rowOff>135392</xdr:rowOff>
    </xdr:from>
    <xdr:to>
      <xdr:col>10</xdr:col>
      <xdr:colOff>33338</xdr:colOff>
      <xdr:row>20</xdr:row>
      <xdr:rowOff>30617</xdr:rowOff>
    </xdr:to>
    <xdr:sp macro="" textlink="">
      <xdr:nvSpPr>
        <xdr:cNvPr id="24" name="Pentágono 23">
          <a:hlinkClick xmlns:r="http://schemas.openxmlformats.org/officeDocument/2006/relationships" r:id="rId12"/>
        </xdr:cNvPr>
        <xdr:cNvSpPr/>
      </xdr:nvSpPr>
      <xdr:spPr>
        <a:xfrm>
          <a:off x="4519613" y="3564392"/>
          <a:ext cx="1247775" cy="276225"/>
        </a:xfrm>
        <a:prstGeom prst="homePlate">
          <a:avLst/>
        </a:prstGeom>
        <a:solidFill>
          <a:schemeClr val="accent6">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Inserir Gráfico</a:t>
          </a:r>
        </a:p>
      </xdr:txBody>
    </xdr:sp>
    <xdr:clientData/>
  </xdr:twoCellAnchor>
  <xdr:twoCellAnchor>
    <xdr:from>
      <xdr:col>3</xdr:col>
      <xdr:colOff>19050</xdr:colOff>
      <xdr:row>13</xdr:row>
      <xdr:rowOff>35720</xdr:rowOff>
    </xdr:from>
    <xdr:to>
      <xdr:col>5</xdr:col>
      <xdr:colOff>47625</xdr:colOff>
      <xdr:row>14</xdr:row>
      <xdr:rowOff>121445</xdr:rowOff>
    </xdr:to>
    <xdr:sp macro="" textlink="">
      <xdr:nvSpPr>
        <xdr:cNvPr id="25" name="Pentágono 24">
          <a:hlinkClick xmlns:r="http://schemas.openxmlformats.org/officeDocument/2006/relationships" r:id="rId13"/>
        </xdr:cNvPr>
        <xdr:cNvSpPr/>
      </xdr:nvSpPr>
      <xdr:spPr>
        <a:xfrm>
          <a:off x="1485900" y="2512220"/>
          <a:ext cx="1247775" cy="276225"/>
        </a:xfrm>
        <a:prstGeom prst="homePlate">
          <a:avLst/>
        </a:prstGeom>
        <a:solidFill>
          <a:schemeClr val="accent3">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Exibir Guias / Linha de Grade</a:t>
          </a:r>
        </a:p>
      </xdr:txBody>
    </xdr:sp>
    <xdr:clientData/>
  </xdr:twoCellAnchor>
  <xdr:twoCellAnchor>
    <xdr:from>
      <xdr:col>8</xdr:col>
      <xdr:colOff>4763</xdr:colOff>
      <xdr:row>7</xdr:row>
      <xdr:rowOff>128588</xdr:rowOff>
    </xdr:from>
    <xdr:to>
      <xdr:col>10</xdr:col>
      <xdr:colOff>33338</xdr:colOff>
      <xdr:row>9</xdr:row>
      <xdr:rowOff>23813</xdr:rowOff>
    </xdr:to>
    <xdr:sp macro="" textlink="">
      <xdr:nvSpPr>
        <xdr:cNvPr id="26" name="Pentágono 25">
          <a:hlinkClick xmlns:r="http://schemas.openxmlformats.org/officeDocument/2006/relationships" r:id="rId14"/>
        </xdr:cNvPr>
        <xdr:cNvSpPr/>
      </xdr:nvSpPr>
      <xdr:spPr>
        <a:xfrm>
          <a:off x="4519613" y="1462088"/>
          <a:ext cx="1247775" cy="276225"/>
        </a:xfrm>
        <a:prstGeom prst="homePlate">
          <a:avLst/>
        </a:prstGeom>
        <a:solidFill>
          <a:schemeClr val="accent6">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Função Média</a:t>
          </a:r>
        </a:p>
      </xdr:txBody>
    </xdr:sp>
    <xdr:clientData/>
  </xdr:twoCellAnchor>
  <xdr:twoCellAnchor>
    <xdr:from>
      <xdr:col>5</xdr:col>
      <xdr:colOff>342900</xdr:colOff>
      <xdr:row>20</xdr:row>
      <xdr:rowOff>95250</xdr:rowOff>
    </xdr:from>
    <xdr:to>
      <xdr:col>7</xdr:col>
      <xdr:colOff>371475</xdr:colOff>
      <xdr:row>21</xdr:row>
      <xdr:rowOff>180975</xdr:rowOff>
    </xdr:to>
    <xdr:sp macro="" textlink="">
      <xdr:nvSpPr>
        <xdr:cNvPr id="27" name="Pentágono 26">
          <a:hlinkClick xmlns:r="http://schemas.openxmlformats.org/officeDocument/2006/relationships" r:id="rId15"/>
        </xdr:cNvPr>
        <xdr:cNvSpPr/>
      </xdr:nvSpPr>
      <xdr:spPr>
        <a:xfrm>
          <a:off x="3028950" y="3905250"/>
          <a:ext cx="1247775" cy="276225"/>
        </a:xfrm>
        <a:prstGeom prst="homePlate">
          <a:avLst/>
        </a:prstGeom>
        <a:solidFill>
          <a:schemeClr val="tx2"/>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100" b="1">
              <a:solidFill>
                <a:schemeClr val="bg1"/>
              </a:solidFill>
            </a:rPr>
            <a:t>Função Esquerda</a:t>
          </a:r>
        </a:p>
      </xdr:txBody>
    </xdr:sp>
    <xdr:clientData/>
  </xdr:twoCellAnchor>
  <xdr:twoCellAnchor>
    <xdr:from>
      <xdr:col>5</xdr:col>
      <xdr:colOff>342900</xdr:colOff>
      <xdr:row>11</xdr:row>
      <xdr:rowOff>64634</xdr:rowOff>
    </xdr:from>
    <xdr:to>
      <xdr:col>7</xdr:col>
      <xdr:colOff>371475</xdr:colOff>
      <xdr:row>12</xdr:row>
      <xdr:rowOff>150359</xdr:rowOff>
    </xdr:to>
    <xdr:sp macro="" textlink="">
      <xdr:nvSpPr>
        <xdr:cNvPr id="28" name="Pentágono 27">
          <a:hlinkClick xmlns:r="http://schemas.openxmlformats.org/officeDocument/2006/relationships" r:id="rId16"/>
        </xdr:cNvPr>
        <xdr:cNvSpPr/>
      </xdr:nvSpPr>
      <xdr:spPr>
        <a:xfrm>
          <a:off x="3028950" y="2160134"/>
          <a:ext cx="1247775" cy="276225"/>
        </a:xfrm>
        <a:prstGeom prst="homePlate">
          <a:avLst/>
        </a:prstGeom>
        <a:solidFill>
          <a:schemeClr val="tx2"/>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Função Máximo</a:t>
          </a:r>
        </a:p>
      </xdr:txBody>
    </xdr:sp>
    <xdr:clientData/>
  </xdr:twoCellAnchor>
  <xdr:twoCellAnchor>
    <xdr:from>
      <xdr:col>5</xdr:col>
      <xdr:colOff>342900</xdr:colOff>
      <xdr:row>13</xdr:row>
      <xdr:rowOff>32657</xdr:rowOff>
    </xdr:from>
    <xdr:to>
      <xdr:col>7</xdr:col>
      <xdr:colOff>371475</xdr:colOff>
      <xdr:row>14</xdr:row>
      <xdr:rowOff>118382</xdr:rowOff>
    </xdr:to>
    <xdr:sp macro="" textlink="">
      <xdr:nvSpPr>
        <xdr:cNvPr id="29" name="Pentágono 28">
          <a:hlinkClick xmlns:r="http://schemas.openxmlformats.org/officeDocument/2006/relationships" r:id="rId17"/>
        </xdr:cNvPr>
        <xdr:cNvSpPr/>
      </xdr:nvSpPr>
      <xdr:spPr>
        <a:xfrm>
          <a:off x="3028950" y="2509157"/>
          <a:ext cx="1247775" cy="276225"/>
        </a:xfrm>
        <a:prstGeom prst="homePlate">
          <a:avLst/>
        </a:prstGeom>
        <a:solidFill>
          <a:schemeClr val="tx2"/>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Função Mínimo</a:t>
          </a:r>
        </a:p>
      </xdr:txBody>
    </xdr:sp>
    <xdr:clientData/>
  </xdr:twoCellAnchor>
  <xdr:twoCellAnchor>
    <xdr:from>
      <xdr:col>8</xdr:col>
      <xdr:colOff>4763</xdr:colOff>
      <xdr:row>16</xdr:row>
      <xdr:rowOff>166008</xdr:rowOff>
    </xdr:from>
    <xdr:to>
      <xdr:col>10</xdr:col>
      <xdr:colOff>33338</xdr:colOff>
      <xdr:row>18</xdr:row>
      <xdr:rowOff>61233</xdr:rowOff>
    </xdr:to>
    <xdr:sp macro="" textlink="">
      <xdr:nvSpPr>
        <xdr:cNvPr id="30" name="Pentágono 29">
          <a:hlinkClick xmlns:r="http://schemas.openxmlformats.org/officeDocument/2006/relationships" r:id="rId18"/>
        </xdr:cNvPr>
        <xdr:cNvSpPr/>
      </xdr:nvSpPr>
      <xdr:spPr>
        <a:xfrm>
          <a:off x="4519613" y="3214008"/>
          <a:ext cx="1247775" cy="276225"/>
        </a:xfrm>
        <a:prstGeom prst="homePlate">
          <a:avLst/>
        </a:prstGeom>
        <a:solidFill>
          <a:schemeClr val="accent6">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Cont.Se</a:t>
          </a:r>
        </a:p>
      </xdr:txBody>
    </xdr:sp>
    <xdr:clientData/>
  </xdr:twoCellAnchor>
  <xdr:twoCellAnchor>
    <xdr:from>
      <xdr:col>8</xdr:col>
      <xdr:colOff>4763</xdr:colOff>
      <xdr:row>20</xdr:row>
      <xdr:rowOff>104775</xdr:rowOff>
    </xdr:from>
    <xdr:to>
      <xdr:col>10</xdr:col>
      <xdr:colOff>33338</xdr:colOff>
      <xdr:row>22</xdr:row>
      <xdr:rowOff>0</xdr:rowOff>
    </xdr:to>
    <xdr:sp macro="" textlink="">
      <xdr:nvSpPr>
        <xdr:cNvPr id="31" name="Pentágono 30">
          <a:hlinkClick xmlns:r="http://schemas.openxmlformats.org/officeDocument/2006/relationships" r:id="rId19"/>
        </xdr:cNvPr>
        <xdr:cNvSpPr/>
      </xdr:nvSpPr>
      <xdr:spPr>
        <a:xfrm>
          <a:off x="4519613" y="3914775"/>
          <a:ext cx="1247775" cy="276225"/>
        </a:xfrm>
        <a:prstGeom prst="homePlate">
          <a:avLst/>
        </a:prstGeom>
        <a:solidFill>
          <a:schemeClr val="accent6">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Cont.Num</a:t>
          </a:r>
        </a:p>
      </xdr:txBody>
    </xdr:sp>
    <xdr:clientData/>
  </xdr:twoCellAnchor>
  <xdr:twoCellAnchor>
    <xdr:from>
      <xdr:col>3</xdr:col>
      <xdr:colOff>19050</xdr:colOff>
      <xdr:row>16</xdr:row>
      <xdr:rowOff>164308</xdr:rowOff>
    </xdr:from>
    <xdr:to>
      <xdr:col>5</xdr:col>
      <xdr:colOff>47625</xdr:colOff>
      <xdr:row>18</xdr:row>
      <xdr:rowOff>59533</xdr:rowOff>
    </xdr:to>
    <xdr:sp macro="" textlink="">
      <xdr:nvSpPr>
        <xdr:cNvPr id="32" name="Pentágono 31">
          <a:hlinkClick xmlns:r="http://schemas.openxmlformats.org/officeDocument/2006/relationships" r:id="rId20"/>
        </xdr:cNvPr>
        <xdr:cNvSpPr/>
      </xdr:nvSpPr>
      <xdr:spPr>
        <a:xfrm>
          <a:off x="1485900" y="3212308"/>
          <a:ext cx="1247775" cy="276225"/>
        </a:xfrm>
        <a:prstGeom prst="homePlate">
          <a:avLst/>
        </a:prstGeom>
        <a:solidFill>
          <a:schemeClr val="accent3">
            <a:lumMod val="75000"/>
          </a:schemeClr>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Congelar Painéis</a:t>
          </a:r>
        </a:p>
      </xdr:txBody>
    </xdr:sp>
    <xdr:clientData/>
  </xdr:twoCellAnchor>
  <xdr:twoCellAnchor>
    <xdr:from>
      <xdr:col>5</xdr:col>
      <xdr:colOff>342900</xdr:colOff>
      <xdr:row>18</xdr:row>
      <xdr:rowOff>127226</xdr:rowOff>
    </xdr:from>
    <xdr:to>
      <xdr:col>7</xdr:col>
      <xdr:colOff>371475</xdr:colOff>
      <xdr:row>20</xdr:row>
      <xdr:rowOff>22451</xdr:rowOff>
    </xdr:to>
    <xdr:sp macro="" textlink="">
      <xdr:nvSpPr>
        <xdr:cNvPr id="33" name="Pentágono 32">
          <a:hlinkClick xmlns:r="http://schemas.openxmlformats.org/officeDocument/2006/relationships" r:id="rId21"/>
        </xdr:cNvPr>
        <xdr:cNvSpPr/>
      </xdr:nvSpPr>
      <xdr:spPr>
        <a:xfrm>
          <a:off x="3028950" y="3556226"/>
          <a:ext cx="1247775" cy="276225"/>
        </a:xfrm>
        <a:prstGeom prst="homePlate">
          <a:avLst/>
        </a:prstGeom>
        <a:solidFill>
          <a:schemeClr val="tx2"/>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100" b="1">
              <a:solidFill>
                <a:schemeClr val="bg1"/>
              </a:solidFill>
            </a:rPr>
            <a:t>Função Direita</a:t>
          </a:r>
        </a:p>
      </xdr:txBody>
    </xdr:sp>
    <xdr:clientData/>
  </xdr:twoCellAnchor>
  <xdr:twoCellAnchor>
    <xdr:from>
      <xdr:col>5</xdr:col>
      <xdr:colOff>342900</xdr:colOff>
      <xdr:row>15</xdr:row>
      <xdr:rowOff>680</xdr:rowOff>
    </xdr:from>
    <xdr:to>
      <xdr:col>7</xdr:col>
      <xdr:colOff>371475</xdr:colOff>
      <xdr:row>16</xdr:row>
      <xdr:rowOff>86405</xdr:rowOff>
    </xdr:to>
    <xdr:sp macro="" textlink="">
      <xdr:nvSpPr>
        <xdr:cNvPr id="34" name="Pentágono 33">
          <a:hlinkClick xmlns:r="http://schemas.openxmlformats.org/officeDocument/2006/relationships" r:id="rId22"/>
        </xdr:cNvPr>
        <xdr:cNvSpPr/>
      </xdr:nvSpPr>
      <xdr:spPr>
        <a:xfrm>
          <a:off x="3028950" y="2858180"/>
          <a:ext cx="1247775" cy="276225"/>
        </a:xfrm>
        <a:prstGeom prst="homePlate">
          <a:avLst/>
        </a:prstGeom>
        <a:solidFill>
          <a:schemeClr val="tx2"/>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Função Maior</a:t>
          </a:r>
        </a:p>
      </xdr:txBody>
    </xdr:sp>
    <xdr:clientData/>
  </xdr:twoCellAnchor>
  <xdr:twoCellAnchor>
    <xdr:from>
      <xdr:col>5</xdr:col>
      <xdr:colOff>342900</xdr:colOff>
      <xdr:row>16</xdr:row>
      <xdr:rowOff>159203</xdr:rowOff>
    </xdr:from>
    <xdr:to>
      <xdr:col>7</xdr:col>
      <xdr:colOff>371475</xdr:colOff>
      <xdr:row>18</xdr:row>
      <xdr:rowOff>54428</xdr:rowOff>
    </xdr:to>
    <xdr:sp macro="" textlink="">
      <xdr:nvSpPr>
        <xdr:cNvPr id="35" name="Pentágono 34">
          <a:hlinkClick xmlns:r="http://schemas.openxmlformats.org/officeDocument/2006/relationships" r:id="rId23"/>
        </xdr:cNvPr>
        <xdr:cNvSpPr/>
      </xdr:nvSpPr>
      <xdr:spPr>
        <a:xfrm>
          <a:off x="3028950" y="3207203"/>
          <a:ext cx="1247775" cy="276225"/>
        </a:xfrm>
        <a:prstGeom prst="homePlate">
          <a:avLst/>
        </a:prstGeom>
        <a:solidFill>
          <a:schemeClr val="tx2"/>
        </a:solidFill>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pt-BR" sz="1000" b="1">
              <a:solidFill>
                <a:schemeClr val="bg1"/>
              </a:solidFill>
            </a:rPr>
            <a:t>Função Menor</a:t>
          </a:r>
        </a:p>
      </xdr:txBody>
    </xdr:sp>
    <xdr:clientData/>
  </xdr:twoCellAnchor>
  <xdr:twoCellAnchor editAs="oneCell">
    <xdr:from>
      <xdr:col>12</xdr:col>
      <xdr:colOff>337185</xdr:colOff>
      <xdr:row>14</xdr:row>
      <xdr:rowOff>15240</xdr:rowOff>
    </xdr:from>
    <xdr:to>
      <xdr:col>14</xdr:col>
      <xdr:colOff>422668</xdr:colOff>
      <xdr:row>20</xdr:row>
      <xdr:rowOff>167640</xdr:rowOff>
    </xdr:to>
    <xdr:pic>
      <xdr:nvPicPr>
        <xdr:cNvPr id="36" name="Imagem 35" descr="http://images.br.sftcdn.net/br/scrn/121000/121166/microsoft-excel-2010-32.png"/>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xmlns="" val="0"/>
            </a:ext>
          </a:extLst>
        </a:blip>
        <a:srcRect/>
        <a:stretch>
          <a:fillRect/>
        </a:stretch>
      </xdr:blipFill>
      <xdr:spPr bwMode="auto">
        <a:xfrm>
          <a:off x="7461885" y="2575560"/>
          <a:ext cx="1335163" cy="124968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12</xdr:col>
      <xdr:colOff>121920</xdr:colOff>
      <xdr:row>4</xdr:row>
      <xdr:rowOff>83820</xdr:rowOff>
    </xdr:from>
    <xdr:to>
      <xdr:col>12</xdr:col>
      <xdr:colOff>521970</xdr:colOff>
      <xdr:row>6</xdr:row>
      <xdr:rowOff>74295</xdr:rowOff>
    </xdr:to>
    <xdr:grpSp>
      <xdr:nvGrpSpPr>
        <xdr:cNvPr id="37" name="Grupo 36">
          <a:hlinkClick xmlns:r="http://schemas.openxmlformats.org/officeDocument/2006/relationships" r:id="rId25"/>
        </xdr:cNvPr>
        <xdr:cNvGrpSpPr/>
      </xdr:nvGrpSpPr>
      <xdr:grpSpPr>
        <a:xfrm>
          <a:off x="7267787" y="828887"/>
          <a:ext cx="400050" cy="363008"/>
          <a:chOff x="9334500" y="1162050"/>
          <a:chExt cx="400050" cy="371475"/>
        </a:xfrm>
      </xdr:grpSpPr>
      <xdr:sp macro="" textlink="">
        <xdr:nvSpPr>
          <xdr:cNvPr id="38" name="Elipse 37"/>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39" name="Seta circular 38"/>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133349</xdr:colOff>
      <xdr:row>0</xdr:row>
      <xdr:rowOff>95250</xdr:rowOff>
    </xdr:from>
    <xdr:to>
      <xdr:col>16</xdr:col>
      <xdr:colOff>57149</xdr:colOff>
      <xdr:row>3</xdr:row>
      <xdr:rowOff>85725</xdr:rowOff>
    </xdr:to>
    <xdr:sp macro="" textlink="">
      <xdr:nvSpPr>
        <xdr:cNvPr id="5" name="Retângulo 4"/>
        <xdr:cNvSpPr/>
      </xdr:nvSpPr>
      <xdr:spPr>
        <a:xfrm>
          <a:off x="133349" y="95250"/>
          <a:ext cx="11401425"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 2007</a:t>
          </a:r>
        </a:p>
      </xdr:txBody>
    </xdr:sp>
    <xdr:clientData/>
  </xdr:twoCellAnchor>
  <xdr:twoCellAnchor editAs="oneCell">
    <xdr:from>
      <xdr:col>3</xdr:col>
      <xdr:colOff>304800</xdr:colOff>
      <xdr:row>10</xdr:row>
      <xdr:rowOff>95250</xdr:rowOff>
    </xdr:from>
    <xdr:to>
      <xdr:col>12</xdr:col>
      <xdr:colOff>219075</xdr:colOff>
      <xdr:row>17</xdr:row>
      <xdr:rowOff>104775</xdr:rowOff>
    </xdr:to>
    <xdr:pic>
      <xdr:nvPicPr>
        <xdr:cNvPr id="1028" name="Picture 4"/>
        <xdr:cNvPicPr>
          <a:picLocks noChangeAspect="1" noChangeArrowheads="1"/>
        </xdr:cNvPicPr>
      </xdr:nvPicPr>
      <xdr:blipFill>
        <a:blip xmlns:r="http://schemas.openxmlformats.org/officeDocument/2006/relationships" r:embed="rId1" cstate="print"/>
        <a:srcRect/>
        <a:stretch>
          <a:fillRect/>
        </a:stretch>
      </xdr:blipFill>
      <xdr:spPr bwMode="auto">
        <a:xfrm>
          <a:off x="2152650" y="2105025"/>
          <a:ext cx="7105650" cy="1419225"/>
        </a:xfrm>
        <a:prstGeom prst="rect">
          <a:avLst/>
        </a:prstGeom>
        <a:noFill/>
      </xdr:spPr>
    </xdr:pic>
    <xdr:clientData/>
  </xdr:twoCellAnchor>
  <xdr:twoCellAnchor editAs="oneCell">
    <xdr:from>
      <xdr:col>2</xdr:col>
      <xdr:colOff>238124</xdr:colOff>
      <xdr:row>4</xdr:row>
      <xdr:rowOff>123825</xdr:rowOff>
    </xdr:from>
    <xdr:to>
      <xdr:col>2</xdr:col>
      <xdr:colOff>666749</xdr:colOff>
      <xdr:row>7</xdr:row>
      <xdr:rowOff>4762</xdr:rowOff>
    </xdr:to>
    <xdr:pic>
      <xdr:nvPicPr>
        <xdr:cNvPr id="1030" name="Picture 6"/>
        <xdr:cNvPicPr>
          <a:picLocks noChangeAspect="1" noChangeArrowheads="1"/>
        </xdr:cNvPicPr>
      </xdr:nvPicPr>
      <xdr:blipFill>
        <a:blip xmlns:r="http://schemas.openxmlformats.org/officeDocument/2006/relationships" r:embed="rId2" cstate="print"/>
        <a:srcRect/>
        <a:stretch>
          <a:fillRect/>
        </a:stretch>
      </xdr:blipFill>
      <xdr:spPr bwMode="auto">
        <a:xfrm>
          <a:off x="1371599" y="885825"/>
          <a:ext cx="428625" cy="557212"/>
        </a:xfrm>
        <a:prstGeom prst="rect">
          <a:avLst/>
        </a:prstGeom>
        <a:noFill/>
      </xdr:spPr>
    </xdr:pic>
    <xdr:clientData/>
  </xdr:twoCellAnchor>
  <xdr:twoCellAnchor>
    <xdr:from>
      <xdr:col>15</xdr:col>
      <xdr:colOff>152400</xdr:colOff>
      <xdr:row>1</xdr:row>
      <xdr:rowOff>0</xdr:rowOff>
    </xdr:from>
    <xdr:to>
      <xdr:col>15</xdr:col>
      <xdr:colOff>552450</xdr:colOff>
      <xdr:row>2</xdr:row>
      <xdr:rowOff>180975</xdr:rowOff>
    </xdr:to>
    <xdr:grpSp>
      <xdr:nvGrpSpPr>
        <xdr:cNvPr id="11" name="Grupo 10">
          <a:hlinkClick xmlns:r="http://schemas.openxmlformats.org/officeDocument/2006/relationships" r:id="rId3"/>
        </xdr:cNvPr>
        <xdr:cNvGrpSpPr/>
      </xdr:nvGrpSpPr>
      <xdr:grpSpPr>
        <a:xfrm>
          <a:off x="11216640" y="182880"/>
          <a:ext cx="400050" cy="363855"/>
          <a:chOff x="9334500" y="1162050"/>
          <a:chExt cx="400050" cy="371475"/>
        </a:xfrm>
      </xdr:grpSpPr>
      <xdr:sp macro="" textlink="">
        <xdr:nvSpPr>
          <xdr:cNvPr id="9" name="Elipse 8"/>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10" name="Seta circular 9"/>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xdr:from>
      <xdr:col>7</xdr:col>
      <xdr:colOff>371475</xdr:colOff>
      <xdr:row>9</xdr:row>
      <xdr:rowOff>123824</xdr:rowOff>
    </xdr:from>
    <xdr:to>
      <xdr:col>7</xdr:col>
      <xdr:colOff>866777</xdr:colOff>
      <xdr:row>11</xdr:row>
      <xdr:rowOff>133349</xdr:rowOff>
    </xdr:to>
    <xdr:cxnSp macro="">
      <xdr:nvCxnSpPr>
        <xdr:cNvPr id="13" name="Conector de seta reta 12"/>
        <xdr:cNvCxnSpPr/>
      </xdr:nvCxnSpPr>
      <xdr:spPr>
        <a:xfrm rot="10800000" flipV="1">
          <a:off x="5915025" y="1943099"/>
          <a:ext cx="495302" cy="466725"/>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19</xdr:col>
      <xdr:colOff>266700</xdr:colOff>
      <xdr:row>3</xdr:row>
      <xdr:rowOff>76200</xdr:rowOff>
    </xdr:to>
    <xdr:sp macro="" textlink="">
      <xdr:nvSpPr>
        <xdr:cNvPr id="2" name="Retângulo 1"/>
        <xdr:cNvSpPr/>
      </xdr:nvSpPr>
      <xdr:spPr>
        <a:xfrm>
          <a:off x="85725" y="85725"/>
          <a:ext cx="11401425"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 2007</a:t>
          </a:r>
        </a:p>
      </xdr:txBody>
    </xdr:sp>
    <xdr:clientData/>
  </xdr:twoCellAnchor>
  <xdr:twoCellAnchor>
    <xdr:from>
      <xdr:col>18</xdr:col>
      <xdr:colOff>361951</xdr:colOff>
      <xdr:row>0</xdr:row>
      <xdr:rowOff>180975</xdr:rowOff>
    </xdr:from>
    <xdr:to>
      <xdr:col>19</xdr:col>
      <xdr:colOff>152401</xdr:colOff>
      <xdr:row>2</xdr:row>
      <xdr:rowOff>171450</xdr:rowOff>
    </xdr:to>
    <xdr:grpSp>
      <xdr:nvGrpSpPr>
        <xdr:cNvPr id="4" name="Grupo 3">
          <a:hlinkClick xmlns:r="http://schemas.openxmlformats.org/officeDocument/2006/relationships" r:id="rId1"/>
        </xdr:cNvPr>
        <xdr:cNvGrpSpPr/>
      </xdr:nvGrpSpPr>
      <xdr:grpSpPr>
        <a:xfrm>
          <a:off x="10976611"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6</xdr:col>
      <xdr:colOff>581025</xdr:colOff>
      <xdr:row>17</xdr:row>
      <xdr:rowOff>28575</xdr:rowOff>
    </xdr:from>
    <xdr:to>
      <xdr:col>9</xdr:col>
      <xdr:colOff>590550</xdr:colOff>
      <xdr:row>20</xdr:row>
      <xdr:rowOff>76200</xdr:rowOff>
    </xdr:to>
    <xdr:pic>
      <xdr:nvPicPr>
        <xdr:cNvPr id="2050"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3876675" y="3476625"/>
          <a:ext cx="1838325" cy="619125"/>
        </a:xfrm>
        <a:prstGeom prst="rect">
          <a:avLst/>
        </a:prstGeom>
        <a:noFill/>
        <a:effectLst>
          <a:outerShdw blurRad="50800" dist="38100" dir="2700000" algn="tl" rotWithShape="0">
            <a:prstClr val="black">
              <a:alpha val="40000"/>
            </a:prstClr>
          </a:outerShdw>
        </a:effectLst>
      </xdr:spPr>
    </xdr:pic>
    <xdr:clientData/>
  </xdr:twoCellAnchor>
  <xdr:twoCellAnchor>
    <xdr:from>
      <xdr:col>3</xdr:col>
      <xdr:colOff>581028</xdr:colOff>
      <xdr:row>17</xdr:row>
      <xdr:rowOff>104775</xdr:rowOff>
    </xdr:from>
    <xdr:to>
      <xdr:col>4</xdr:col>
      <xdr:colOff>590551</xdr:colOff>
      <xdr:row>17</xdr:row>
      <xdr:rowOff>104776</xdr:rowOff>
    </xdr:to>
    <xdr:cxnSp macro="">
      <xdr:nvCxnSpPr>
        <xdr:cNvPr id="9" name="Conector de seta reta 8"/>
        <xdr:cNvCxnSpPr/>
      </xdr:nvCxnSpPr>
      <xdr:spPr>
        <a:xfrm rot="10800000">
          <a:off x="2047878" y="3552825"/>
          <a:ext cx="619123" cy="1"/>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581028</xdr:colOff>
      <xdr:row>18</xdr:row>
      <xdr:rowOff>104775</xdr:rowOff>
    </xdr:from>
    <xdr:to>
      <xdr:col>4</xdr:col>
      <xdr:colOff>590551</xdr:colOff>
      <xdr:row>18</xdr:row>
      <xdr:rowOff>104776</xdr:rowOff>
    </xdr:to>
    <xdr:cxnSp macro="">
      <xdr:nvCxnSpPr>
        <xdr:cNvPr id="14" name="Conector de seta reta 13"/>
        <xdr:cNvCxnSpPr/>
      </xdr:nvCxnSpPr>
      <xdr:spPr>
        <a:xfrm rot="10800000">
          <a:off x="2047878" y="3743325"/>
          <a:ext cx="619123" cy="1"/>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571503</xdr:colOff>
      <xdr:row>20</xdr:row>
      <xdr:rowOff>104775</xdr:rowOff>
    </xdr:from>
    <xdr:to>
      <xdr:col>4</xdr:col>
      <xdr:colOff>581026</xdr:colOff>
      <xdr:row>20</xdr:row>
      <xdr:rowOff>104776</xdr:rowOff>
    </xdr:to>
    <xdr:cxnSp macro="">
      <xdr:nvCxnSpPr>
        <xdr:cNvPr id="15" name="Conector de seta reta 14"/>
        <xdr:cNvCxnSpPr/>
      </xdr:nvCxnSpPr>
      <xdr:spPr>
        <a:xfrm rot="10800000">
          <a:off x="2038353" y="4124325"/>
          <a:ext cx="619123" cy="1"/>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571503</xdr:colOff>
      <xdr:row>21</xdr:row>
      <xdr:rowOff>104775</xdr:rowOff>
    </xdr:from>
    <xdr:to>
      <xdr:col>4</xdr:col>
      <xdr:colOff>581026</xdr:colOff>
      <xdr:row>21</xdr:row>
      <xdr:rowOff>104776</xdr:rowOff>
    </xdr:to>
    <xdr:cxnSp macro="">
      <xdr:nvCxnSpPr>
        <xdr:cNvPr id="16" name="Conector de seta reta 15"/>
        <xdr:cNvCxnSpPr/>
      </xdr:nvCxnSpPr>
      <xdr:spPr>
        <a:xfrm rot="10800000">
          <a:off x="2038353" y="4314825"/>
          <a:ext cx="619123" cy="1"/>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581028</xdr:colOff>
      <xdr:row>19</xdr:row>
      <xdr:rowOff>104775</xdr:rowOff>
    </xdr:from>
    <xdr:to>
      <xdr:col>4</xdr:col>
      <xdr:colOff>590551</xdr:colOff>
      <xdr:row>19</xdr:row>
      <xdr:rowOff>104776</xdr:rowOff>
    </xdr:to>
    <xdr:cxnSp macro="">
      <xdr:nvCxnSpPr>
        <xdr:cNvPr id="18" name="Conector de seta reta 17"/>
        <xdr:cNvCxnSpPr/>
      </xdr:nvCxnSpPr>
      <xdr:spPr>
        <a:xfrm rot="10800000">
          <a:off x="2047878" y="3933825"/>
          <a:ext cx="619123" cy="1"/>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428626</xdr:colOff>
      <xdr:row>23</xdr:row>
      <xdr:rowOff>9525</xdr:rowOff>
    </xdr:from>
    <xdr:to>
      <xdr:col>3</xdr:col>
      <xdr:colOff>571503</xdr:colOff>
      <xdr:row>25</xdr:row>
      <xdr:rowOff>133353</xdr:rowOff>
    </xdr:to>
    <xdr:cxnSp macro="">
      <xdr:nvCxnSpPr>
        <xdr:cNvPr id="20" name="Conector de seta reta 19"/>
        <xdr:cNvCxnSpPr/>
      </xdr:nvCxnSpPr>
      <xdr:spPr>
        <a:xfrm rot="10800000">
          <a:off x="1285876" y="4600575"/>
          <a:ext cx="752477" cy="50482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276227</xdr:colOff>
      <xdr:row>22</xdr:row>
      <xdr:rowOff>152401</xdr:rowOff>
    </xdr:from>
    <xdr:to>
      <xdr:col>3</xdr:col>
      <xdr:colOff>542925</xdr:colOff>
      <xdr:row>25</xdr:row>
      <xdr:rowOff>104775</xdr:rowOff>
    </xdr:to>
    <xdr:cxnSp macro="">
      <xdr:nvCxnSpPr>
        <xdr:cNvPr id="24" name="Conector de seta reta 23"/>
        <xdr:cNvCxnSpPr/>
      </xdr:nvCxnSpPr>
      <xdr:spPr>
        <a:xfrm rot="16200000" flipV="1">
          <a:off x="1614489" y="4681539"/>
          <a:ext cx="523874" cy="26669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7</xdr:col>
      <xdr:colOff>561975</xdr:colOff>
      <xdr:row>24</xdr:row>
      <xdr:rowOff>120389</xdr:rowOff>
    </xdr:from>
    <xdr:to>
      <xdr:col>17</xdr:col>
      <xdr:colOff>466724</xdr:colOff>
      <xdr:row>28</xdr:row>
      <xdr:rowOff>76199</xdr:rowOff>
    </xdr:to>
    <xdr:pic>
      <xdr:nvPicPr>
        <xdr:cNvPr id="1035" name="Picture 11"/>
        <xdr:cNvPicPr>
          <a:picLocks noChangeAspect="1" noChangeArrowheads="1"/>
        </xdr:cNvPicPr>
      </xdr:nvPicPr>
      <xdr:blipFill>
        <a:blip xmlns:r="http://schemas.openxmlformats.org/officeDocument/2006/relationships" r:embed="rId3" cstate="print"/>
        <a:srcRect/>
        <a:stretch>
          <a:fillRect/>
        </a:stretch>
      </xdr:blipFill>
      <xdr:spPr bwMode="auto">
        <a:xfrm>
          <a:off x="4467225" y="4901939"/>
          <a:ext cx="6000749" cy="794010"/>
        </a:xfrm>
        <a:prstGeom prst="rect">
          <a:avLst/>
        </a:prstGeom>
        <a:noFill/>
        <a:ln w="1">
          <a:noFill/>
          <a:miter lim="800000"/>
          <a:headEnd/>
          <a:tailEnd type="none" w="med" len="med"/>
        </a:ln>
        <a:effectLst/>
      </xdr:spPr>
    </xdr:pic>
    <xdr:clientData/>
  </xdr:twoCellAnchor>
  <xdr:twoCellAnchor>
    <xdr:from>
      <xdr:col>14</xdr:col>
      <xdr:colOff>542925</xdr:colOff>
      <xdr:row>24</xdr:row>
      <xdr:rowOff>38100</xdr:rowOff>
    </xdr:from>
    <xdr:to>
      <xdr:col>15</xdr:col>
      <xdr:colOff>552452</xdr:colOff>
      <xdr:row>26</xdr:row>
      <xdr:rowOff>133349</xdr:rowOff>
    </xdr:to>
    <xdr:cxnSp macro="">
      <xdr:nvCxnSpPr>
        <xdr:cNvPr id="22" name="Conector de seta reta 21"/>
        <xdr:cNvCxnSpPr/>
      </xdr:nvCxnSpPr>
      <xdr:spPr>
        <a:xfrm>
          <a:off x="8715375" y="4819650"/>
          <a:ext cx="619127" cy="552449"/>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7</xdr:col>
      <xdr:colOff>590550</xdr:colOff>
      <xdr:row>31</xdr:row>
      <xdr:rowOff>139439</xdr:rowOff>
    </xdr:from>
    <xdr:to>
      <xdr:col>17</xdr:col>
      <xdr:colOff>495299</xdr:colOff>
      <xdr:row>35</xdr:row>
      <xdr:rowOff>171449</xdr:rowOff>
    </xdr:to>
    <xdr:pic>
      <xdr:nvPicPr>
        <xdr:cNvPr id="26" name="Picture 11"/>
        <xdr:cNvPicPr>
          <a:picLocks noChangeAspect="1" noChangeArrowheads="1"/>
        </xdr:cNvPicPr>
      </xdr:nvPicPr>
      <xdr:blipFill>
        <a:blip xmlns:r="http://schemas.openxmlformats.org/officeDocument/2006/relationships" r:embed="rId3" cstate="print"/>
        <a:srcRect/>
        <a:stretch>
          <a:fillRect/>
        </a:stretch>
      </xdr:blipFill>
      <xdr:spPr bwMode="auto">
        <a:xfrm>
          <a:off x="4495800" y="6330689"/>
          <a:ext cx="6000749" cy="794010"/>
        </a:xfrm>
        <a:prstGeom prst="rect">
          <a:avLst/>
        </a:prstGeom>
        <a:noFill/>
        <a:ln w="1">
          <a:noFill/>
          <a:miter lim="800000"/>
          <a:headEnd/>
          <a:tailEnd type="none" w="med" len="med"/>
        </a:ln>
        <a:effectLst/>
      </xdr:spPr>
    </xdr:pic>
    <xdr:clientData/>
  </xdr:twoCellAnchor>
  <xdr:twoCellAnchor>
    <xdr:from>
      <xdr:col>14</xdr:col>
      <xdr:colOff>152400</xdr:colOff>
      <xdr:row>31</xdr:row>
      <xdr:rowOff>19050</xdr:rowOff>
    </xdr:from>
    <xdr:to>
      <xdr:col>16</xdr:col>
      <xdr:colOff>219077</xdr:colOff>
      <xdr:row>34</xdr:row>
      <xdr:rowOff>76199</xdr:rowOff>
    </xdr:to>
    <xdr:cxnSp macro="">
      <xdr:nvCxnSpPr>
        <xdr:cNvPr id="27" name="Conector de seta reta 26"/>
        <xdr:cNvCxnSpPr/>
      </xdr:nvCxnSpPr>
      <xdr:spPr>
        <a:xfrm>
          <a:off x="8324850" y="6210300"/>
          <a:ext cx="1285877" cy="628649"/>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0</xdr:row>
      <xdr:rowOff>95250</xdr:rowOff>
    </xdr:from>
    <xdr:to>
      <xdr:col>18</xdr:col>
      <xdr:colOff>552450</xdr:colOff>
      <xdr:row>3</xdr:row>
      <xdr:rowOff>85725</xdr:rowOff>
    </xdr:to>
    <xdr:sp macro="" textlink="">
      <xdr:nvSpPr>
        <xdr:cNvPr id="2" name="Retângulo 1"/>
        <xdr:cNvSpPr/>
      </xdr:nvSpPr>
      <xdr:spPr>
        <a:xfrm>
          <a:off x="123825" y="95250"/>
          <a:ext cx="11039475"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 2007</a:t>
          </a:r>
        </a:p>
      </xdr:txBody>
    </xdr:sp>
    <xdr:clientData/>
  </xdr:twoCellAnchor>
  <xdr:twoCellAnchor>
    <xdr:from>
      <xdr:col>2</xdr:col>
      <xdr:colOff>65881</xdr:colOff>
      <xdr:row>25</xdr:row>
      <xdr:rowOff>19844</xdr:rowOff>
    </xdr:from>
    <xdr:to>
      <xdr:col>2</xdr:col>
      <xdr:colOff>67469</xdr:colOff>
      <xdr:row>26</xdr:row>
      <xdr:rowOff>143668</xdr:rowOff>
    </xdr:to>
    <xdr:cxnSp macro="">
      <xdr:nvCxnSpPr>
        <xdr:cNvPr id="4" name="Conector de seta reta 3"/>
        <xdr:cNvCxnSpPr/>
      </xdr:nvCxnSpPr>
      <xdr:spPr>
        <a:xfrm rot="5400000">
          <a:off x="766763" y="4005262"/>
          <a:ext cx="314324" cy="158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600075</xdr:colOff>
      <xdr:row>0</xdr:row>
      <xdr:rowOff>180975</xdr:rowOff>
    </xdr:from>
    <xdr:to>
      <xdr:col>18</xdr:col>
      <xdr:colOff>390525</xdr:colOff>
      <xdr:row>2</xdr:row>
      <xdr:rowOff>171450</xdr:rowOff>
    </xdr:to>
    <xdr:grpSp>
      <xdr:nvGrpSpPr>
        <xdr:cNvPr id="5" name="Grupo 4">
          <a:hlinkClick xmlns:r="http://schemas.openxmlformats.org/officeDocument/2006/relationships" r:id="rId1"/>
        </xdr:cNvPr>
        <xdr:cNvGrpSpPr/>
      </xdr:nvGrpSpPr>
      <xdr:grpSpPr>
        <a:xfrm>
          <a:off x="10605135" y="180975"/>
          <a:ext cx="400050" cy="356235"/>
          <a:chOff x="9334500" y="1162050"/>
          <a:chExt cx="400050" cy="371475"/>
        </a:xfrm>
      </xdr:grpSpPr>
      <xdr:sp macro="" textlink="">
        <xdr:nvSpPr>
          <xdr:cNvPr id="6" name="Elipse 5"/>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7" name="Seta circular 6"/>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561976</xdr:colOff>
      <xdr:row>3</xdr:row>
      <xdr:rowOff>85725</xdr:rowOff>
    </xdr:to>
    <xdr:sp macro="" textlink="">
      <xdr:nvSpPr>
        <xdr:cNvPr id="2" name="Retângulo 1"/>
        <xdr:cNvSpPr/>
      </xdr:nvSpPr>
      <xdr:spPr>
        <a:xfrm>
          <a:off x="123826" y="95250"/>
          <a:ext cx="11296650"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xdr:from>
      <xdr:col>2</xdr:col>
      <xdr:colOff>65881</xdr:colOff>
      <xdr:row>31</xdr:row>
      <xdr:rowOff>19844</xdr:rowOff>
    </xdr:from>
    <xdr:to>
      <xdr:col>2</xdr:col>
      <xdr:colOff>67469</xdr:colOff>
      <xdr:row>32</xdr:row>
      <xdr:rowOff>143668</xdr:rowOff>
    </xdr:to>
    <xdr:cxnSp macro="">
      <xdr:nvCxnSpPr>
        <xdr:cNvPr id="4" name="Conector de seta reta 3"/>
        <xdr:cNvCxnSpPr/>
      </xdr:nvCxnSpPr>
      <xdr:spPr>
        <a:xfrm rot="5400000">
          <a:off x="766763" y="5253037"/>
          <a:ext cx="314324" cy="158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66675</xdr:colOff>
      <xdr:row>1</xdr:row>
      <xdr:rowOff>0</xdr:rowOff>
    </xdr:from>
    <xdr:to>
      <xdr:col>17</xdr:col>
      <xdr:colOff>466725</xdr:colOff>
      <xdr:row>2</xdr:row>
      <xdr:rowOff>180975</xdr:rowOff>
    </xdr:to>
    <xdr:grpSp>
      <xdr:nvGrpSpPr>
        <xdr:cNvPr id="5" name="Grupo 4">
          <a:hlinkClick xmlns:r="http://schemas.openxmlformats.org/officeDocument/2006/relationships" r:id="rId1"/>
        </xdr:cNvPr>
        <xdr:cNvGrpSpPr/>
      </xdr:nvGrpSpPr>
      <xdr:grpSpPr>
        <a:xfrm>
          <a:off x="11008995" y="182880"/>
          <a:ext cx="400050" cy="363855"/>
          <a:chOff x="9334500" y="1162050"/>
          <a:chExt cx="400050" cy="371475"/>
        </a:xfrm>
      </xdr:grpSpPr>
      <xdr:sp macro="" textlink="">
        <xdr:nvSpPr>
          <xdr:cNvPr id="6" name="Elipse 5"/>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7" name="Seta circular 6"/>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xdr:from>
      <xdr:col>8</xdr:col>
      <xdr:colOff>9524</xdr:colOff>
      <xdr:row>34</xdr:row>
      <xdr:rowOff>85727</xdr:rowOff>
    </xdr:from>
    <xdr:to>
      <xdr:col>8</xdr:col>
      <xdr:colOff>571499</xdr:colOff>
      <xdr:row>37</xdr:row>
      <xdr:rowOff>133351</xdr:rowOff>
    </xdr:to>
    <xdr:cxnSp macro="">
      <xdr:nvCxnSpPr>
        <xdr:cNvPr id="8" name="Conector de seta reta 7"/>
        <xdr:cNvCxnSpPr/>
      </xdr:nvCxnSpPr>
      <xdr:spPr>
        <a:xfrm rot="5400000" flipH="1" flipV="1">
          <a:off x="4686300" y="5762626"/>
          <a:ext cx="619124" cy="561975"/>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837407</xdr:colOff>
      <xdr:row>45</xdr:row>
      <xdr:rowOff>793</xdr:rowOff>
    </xdr:from>
    <xdr:to>
      <xdr:col>9</xdr:col>
      <xdr:colOff>838995</xdr:colOff>
      <xdr:row>46</xdr:row>
      <xdr:rowOff>124618</xdr:rowOff>
    </xdr:to>
    <xdr:cxnSp macro="">
      <xdr:nvCxnSpPr>
        <xdr:cNvPr id="19" name="Conector reto 18"/>
        <xdr:cNvCxnSpPr/>
      </xdr:nvCxnSpPr>
      <xdr:spPr>
        <a:xfrm rot="5400000">
          <a:off x="5995988" y="7948612"/>
          <a:ext cx="314325" cy="1588"/>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514350</xdr:colOff>
      <xdr:row>46</xdr:row>
      <xdr:rowOff>133348</xdr:rowOff>
    </xdr:from>
    <xdr:to>
      <xdr:col>9</xdr:col>
      <xdr:colOff>838204</xdr:colOff>
      <xdr:row>46</xdr:row>
      <xdr:rowOff>133349</xdr:rowOff>
    </xdr:to>
    <xdr:cxnSp macro="">
      <xdr:nvCxnSpPr>
        <xdr:cNvPr id="20" name="Conector reto 19"/>
        <xdr:cNvCxnSpPr/>
      </xdr:nvCxnSpPr>
      <xdr:spPr>
        <a:xfrm rot="10800000" flipV="1">
          <a:off x="5219700" y="8115298"/>
          <a:ext cx="933454" cy="1"/>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514350</xdr:colOff>
      <xdr:row>46</xdr:row>
      <xdr:rowOff>133351</xdr:rowOff>
    </xdr:from>
    <xdr:to>
      <xdr:col>9</xdr:col>
      <xdr:colOff>9525</xdr:colOff>
      <xdr:row>47</xdr:row>
      <xdr:rowOff>66675</xdr:rowOff>
    </xdr:to>
    <xdr:cxnSp macro="">
      <xdr:nvCxnSpPr>
        <xdr:cNvPr id="26" name="Conector reto 25"/>
        <xdr:cNvCxnSpPr/>
      </xdr:nvCxnSpPr>
      <xdr:spPr>
        <a:xfrm rot="16200000" flipV="1">
          <a:off x="5210176" y="8124825"/>
          <a:ext cx="123824" cy="104775"/>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438150</xdr:colOff>
      <xdr:row>45</xdr:row>
      <xdr:rowOff>10319</xdr:rowOff>
    </xdr:from>
    <xdr:to>
      <xdr:col>10</xdr:col>
      <xdr:colOff>438945</xdr:colOff>
      <xdr:row>45</xdr:row>
      <xdr:rowOff>180979</xdr:rowOff>
    </xdr:to>
    <xdr:cxnSp macro="">
      <xdr:nvCxnSpPr>
        <xdr:cNvPr id="31" name="Conector reto 30"/>
        <xdr:cNvCxnSpPr/>
      </xdr:nvCxnSpPr>
      <xdr:spPr>
        <a:xfrm rot="5400000">
          <a:off x="6534943" y="7886701"/>
          <a:ext cx="170660" cy="795"/>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266700</xdr:colOff>
      <xdr:row>45</xdr:row>
      <xdr:rowOff>180973</xdr:rowOff>
    </xdr:from>
    <xdr:to>
      <xdr:col>10</xdr:col>
      <xdr:colOff>428631</xdr:colOff>
      <xdr:row>45</xdr:row>
      <xdr:rowOff>180975</xdr:rowOff>
    </xdr:to>
    <xdr:cxnSp macro="">
      <xdr:nvCxnSpPr>
        <xdr:cNvPr id="33" name="Conector reto 32"/>
        <xdr:cNvCxnSpPr/>
      </xdr:nvCxnSpPr>
      <xdr:spPr>
        <a:xfrm rot="10800000" flipV="1">
          <a:off x="4972050" y="7972423"/>
          <a:ext cx="1638306" cy="2"/>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257175</xdr:colOff>
      <xdr:row>45</xdr:row>
      <xdr:rowOff>180975</xdr:rowOff>
    </xdr:from>
    <xdr:to>
      <xdr:col>8</xdr:col>
      <xdr:colOff>600077</xdr:colOff>
      <xdr:row>48</xdr:row>
      <xdr:rowOff>76201</xdr:rowOff>
    </xdr:to>
    <xdr:cxnSp macro="">
      <xdr:nvCxnSpPr>
        <xdr:cNvPr id="35" name="Conector reto 34"/>
        <xdr:cNvCxnSpPr/>
      </xdr:nvCxnSpPr>
      <xdr:spPr>
        <a:xfrm rot="16200000" flipV="1">
          <a:off x="4900613" y="8034337"/>
          <a:ext cx="466726" cy="342902"/>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838200</xdr:colOff>
      <xdr:row>45</xdr:row>
      <xdr:rowOff>10320</xdr:rowOff>
    </xdr:from>
    <xdr:to>
      <xdr:col>10</xdr:col>
      <xdr:colOff>838995</xdr:colOff>
      <xdr:row>45</xdr:row>
      <xdr:rowOff>180980</xdr:rowOff>
    </xdr:to>
    <xdr:cxnSp macro="">
      <xdr:nvCxnSpPr>
        <xdr:cNvPr id="42" name="Conector reto 41"/>
        <xdr:cNvCxnSpPr/>
      </xdr:nvCxnSpPr>
      <xdr:spPr>
        <a:xfrm rot="5400000">
          <a:off x="6934993" y="7886702"/>
          <a:ext cx="170660" cy="795"/>
        </a:xfrm>
        <a:prstGeom prst="line">
          <a:avLst/>
        </a:prstGeom>
      </xdr:spPr>
      <xdr:style>
        <a:lnRef idx="3">
          <a:schemeClr val="accent3"/>
        </a:lnRef>
        <a:fillRef idx="0">
          <a:schemeClr val="accent3"/>
        </a:fillRef>
        <a:effectRef idx="2">
          <a:schemeClr val="accent3"/>
        </a:effectRef>
        <a:fontRef idx="minor">
          <a:schemeClr val="tx1"/>
        </a:fontRef>
      </xdr:style>
    </xdr:cxnSp>
    <xdr:clientData/>
  </xdr:twoCellAnchor>
  <xdr:twoCellAnchor>
    <xdr:from>
      <xdr:col>10</xdr:col>
      <xdr:colOff>819150</xdr:colOff>
      <xdr:row>46</xdr:row>
      <xdr:rowOff>1</xdr:rowOff>
    </xdr:from>
    <xdr:to>
      <xdr:col>13</xdr:col>
      <xdr:colOff>523875</xdr:colOff>
      <xdr:row>46</xdr:row>
      <xdr:rowOff>9526</xdr:rowOff>
    </xdr:to>
    <xdr:cxnSp macro="">
      <xdr:nvCxnSpPr>
        <xdr:cNvPr id="43" name="Conector reto 42"/>
        <xdr:cNvCxnSpPr/>
      </xdr:nvCxnSpPr>
      <xdr:spPr>
        <a:xfrm rot="10800000">
          <a:off x="7000875" y="7981951"/>
          <a:ext cx="1943100" cy="9525"/>
        </a:xfrm>
        <a:prstGeom prst="line">
          <a:avLst/>
        </a:prstGeom>
      </xdr:spPr>
      <xdr:style>
        <a:lnRef idx="3">
          <a:schemeClr val="accent3"/>
        </a:lnRef>
        <a:fillRef idx="0">
          <a:schemeClr val="accent3"/>
        </a:fillRef>
        <a:effectRef idx="2">
          <a:schemeClr val="accent3"/>
        </a:effectRef>
        <a:fontRef idx="minor">
          <a:schemeClr val="tx1"/>
        </a:fontRef>
      </xdr:style>
    </xdr:cxnSp>
    <xdr:clientData/>
  </xdr:twoCellAnchor>
  <xdr:twoCellAnchor>
    <xdr:from>
      <xdr:col>13</xdr:col>
      <xdr:colOff>161925</xdr:colOff>
      <xdr:row>46</xdr:row>
      <xdr:rowOff>1</xdr:rowOff>
    </xdr:from>
    <xdr:to>
      <xdr:col>13</xdr:col>
      <xdr:colOff>533400</xdr:colOff>
      <xdr:row>49</xdr:row>
      <xdr:rowOff>85726</xdr:rowOff>
    </xdr:to>
    <xdr:cxnSp macro="">
      <xdr:nvCxnSpPr>
        <xdr:cNvPr id="44" name="Conector reto 43"/>
        <xdr:cNvCxnSpPr/>
      </xdr:nvCxnSpPr>
      <xdr:spPr>
        <a:xfrm rot="5400000" flipH="1" flipV="1">
          <a:off x="8439150" y="8124826"/>
          <a:ext cx="657225" cy="371475"/>
        </a:xfrm>
        <a:prstGeom prst="line">
          <a:avLst/>
        </a:prstGeom>
      </xdr:spPr>
      <xdr:style>
        <a:lnRef idx="3">
          <a:schemeClr val="accent3"/>
        </a:lnRef>
        <a:fillRef idx="0">
          <a:schemeClr val="accent3"/>
        </a:fillRef>
        <a:effectRef idx="2">
          <a:schemeClr val="accent3"/>
        </a:effectRef>
        <a:fontRef idx="minor">
          <a:schemeClr val="tx1"/>
        </a:fontRef>
      </xdr:style>
    </xdr:cxnSp>
    <xdr:clientData/>
  </xdr:twoCellAnchor>
  <xdr:twoCellAnchor>
    <xdr:from>
      <xdr:col>10</xdr:col>
      <xdr:colOff>971550</xdr:colOff>
      <xdr:row>44</xdr:row>
      <xdr:rowOff>238124</xdr:rowOff>
    </xdr:from>
    <xdr:to>
      <xdr:col>10</xdr:col>
      <xdr:colOff>981075</xdr:colOff>
      <xdr:row>46</xdr:row>
      <xdr:rowOff>133352</xdr:rowOff>
    </xdr:to>
    <xdr:cxnSp macro="">
      <xdr:nvCxnSpPr>
        <xdr:cNvPr id="50" name="Conector reto 49"/>
        <xdr:cNvCxnSpPr/>
      </xdr:nvCxnSpPr>
      <xdr:spPr>
        <a:xfrm rot="16200000" flipH="1">
          <a:off x="6996111" y="7948613"/>
          <a:ext cx="323853" cy="9525"/>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10</xdr:col>
      <xdr:colOff>971550</xdr:colOff>
      <xdr:row>46</xdr:row>
      <xdr:rowOff>152401</xdr:rowOff>
    </xdr:from>
    <xdr:to>
      <xdr:col>14</xdr:col>
      <xdr:colOff>66675</xdr:colOff>
      <xdr:row>46</xdr:row>
      <xdr:rowOff>161926</xdr:rowOff>
    </xdr:to>
    <xdr:cxnSp macro="">
      <xdr:nvCxnSpPr>
        <xdr:cNvPr id="52" name="Conector reto 51"/>
        <xdr:cNvCxnSpPr/>
      </xdr:nvCxnSpPr>
      <xdr:spPr>
        <a:xfrm rot="10800000">
          <a:off x="7153275" y="8134351"/>
          <a:ext cx="1943100" cy="9525"/>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13</xdr:col>
      <xdr:colOff>276224</xdr:colOff>
      <xdr:row>46</xdr:row>
      <xdr:rowOff>152403</xdr:rowOff>
    </xdr:from>
    <xdr:to>
      <xdr:col>14</xdr:col>
      <xdr:colOff>76199</xdr:colOff>
      <xdr:row>50</xdr:row>
      <xdr:rowOff>114301</xdr:rowOff>
    </xdr:to>
    <xdr:cxnSp macro="">
      <xdr:nvCxnSpPr>
        <xdr:cNvPr id="53" name="Conector reto 52"/>
        <xdr:cNvCxnSpPr/>
      </xdr:nvCxnSpPr>
      <xdr:spPr>
        <a:xfrm rot="5400000" flipH="1" flipV="1">
          <a:off x="8539163" y="8291514"/>
          <a:ext cx="723898" cy="409575"/>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12</xdr:col>
      <xdr:colOff>3</xdr:colOff>
      <xdr:row>50</xdr:row>
      <xdr:rowOff>114303</xdr:rowOff>
    </xdr:from>
    <xdr:to>
      <xdr:col>13</xdr:col>
      <xdr:colOff>276226</xdr:colOff>
      <xdr:row>50</xdr:row>
      <xdr:rowOff>123826</xdr:rowOff>
    </xdr:to>
    <xdr:cxnSp macro="">
      <xdr:nvCxnSpPr>
        <xdr:cNvPr id="55" name="Conector reto 54"/>
        <xdr:cNvCxnSpPr/>
      </xdr:nvCxnSpPr>
      <xdr:spPr>
        <a:xfrm rot="10800000">
          <a:off x="7810503" y="8858253"/>
          <a:ext cx="885823" cy="9523"/>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15</xdr:col>
      <xdr:colOff>19050</xdr:colOff>
      <xdr:row>55</xdr:row>
      <xdr:rowOff>85725</xdr:rowOff>
    </xdr:from>
    <xdr:to>
      <xdr:col>15</xdr:col>
      <xdr:colOff>457200</xdr:colOff>
      <xdr:row>55</xdr:row>
      <xdr:rowOff>87313</xdr:rowOff>
    </xdr:to>
    <xdr:cxnSp macro="">
      <xdr:nvCxnSpPr>
        <xdr:cNvPr id="23" name="Conector reto 22"/>
        <xdr:cNvCxnSpPr/>
      </xdr:nvCxnSpPr>
      <xdr:spPr>
        <a:xfrm>
          <a:off x="9658350" y="11029950"/>
          <a:ext cx="438150" cy="158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437357</xdr:colOff>
      <xdr:row>42</xdr:row>
      <xdr:rowOff>152399</xdr:rowOff>
    </xdr:from>
    <xdr:to>
      <xdr:col>15</xdr:col>
      <xdr:colOff>438151</xdr:colOff>
      <xdr:row>55</xdr:row>
      <xdr:rowOff>78581</xdr:rowOff>
    </xdr:to>
    <xdr:cxnSp macro="">
      <xdr:nvCxnSpPr>
        <xdr:cNvPr id="24" name="Conector reto 23"/>
        <xdr:cNvCxnSpPr/>
      </xdr:nvCxnSpPr>
      <xdr:spPr>
        <a:xfrm rot="5400000">
          <a:off x="8851900" y="9797256"/>
          <a:ext cx="2450307" cy="79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847725</xdr:colOff>
      <xdr:row>42</xdr:row>
      <xdr:rowOff>180973</xdr:rowOff>
    </xdr:from>
    <xdr:to>
      <xdr:col>15</xdr:col>
      <xdr:colOff>447676</xdr:colOff>
      <xdr:row>42</xdr:row>
      <xdr:rowOff>180974</xdr:rowOff>
    </xdr:to>
    <xdr:cxnSp macro="">
      <xdr:nvCxnSpPr>
        <xdr:cNvPr id="28" name="Conector reto 27"/>
        <xdr:cNvCxnSpPr/>
      </xdr:nvCxnSpPr>
      <xdr:spPr>
        <a:xfrm rot="10800000" flipV="1">
          <a:off x="7029450" y="8601073"/>
          <a:ext cx="3057526" cy="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847726</xdr:colOff>
      <xdr:row>42</xdr:row>
      <xdr:rowOff>190499</xdr:rowOff>
    </xdr:from>
    <xdr:to>
      <xdr:col>10</xdr:col>
      <xdr:colOff>866777</xdr:colOff>
      <xdr:row>44</xdr:row>
      <xdr:rowOff>9528</xdr:rowOff>
    </xdr:to>
    <xdr:cxnSp macro="">
      <xdr:nvCxnSpPr>
        <xdr:cNvPr id="38" name="Conector de seta reta 37"/>
        <xdr:cNvCxnSpPr/>
      </xdr:nvCxnSpPr>
      <xdr:spPr>
        <a:xfrm rot="5400000">
          <a:off x="6938962" y="8701088"/>
          <a:ext cx="200029" cy="1905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0</xdr:colOff>
      <xdr:row>56</xdr:row>
      <xdr:rowOff>180975</xdr:rowOff>
    </xdr:from>
    <xdr:to>
      <xdr:col>13</xdr:col>
      <xdr:colOff>228600</xdr:colOff>
      <xdr:row>77</xdr:row>
      <xdr:rowOff>19050</xdr:rowOff>
    </xdr:to>
    <xdr:sp macro="" textlink="">
      <xdr:nvSpPr>
        <xdr:cNvPr id="40" name="Retângulo 39"/>
        <xdr:cNvSpPr/>
      </xdr:nvSpPr>
      <xdr:spPr>
        <a:xfrm>
          <a:off x="5314950" y="11315700"/>
          <a:ext cx="3333750" cy="3838575"/>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523876</xdr:colOff>
      <xdr:row>3</xdr:row>
      <xdr:rowOff>85725</xdr:rowOff>
    </xdr:to>
    <xdr:sp macro="" textlink="">
      <xdr:nvSpPr>
        <xdr:cNvPr id="2" name="Retângulo 1"/>
        <xdr:cNvSpPr/>
      </xdr:nvSpPr>
      <xdr:spPr>
        <a:xfrm>
          <a:off x="123826" y="95250"/>
          <a:ext cx="11430000"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xdr:from>
      <xdr:col>2</xdr:col>
      <xdr:colOff>65881</xdr:colOff>
      <xdr:row>19</xdr:row>
      <xdr:rowOff>19844</xdr:rowOff>
    </xdr:from>
    <xdr:to>
      <xdr:col>2</xdr:col>
      <xdr:colOff>67469</xdr:colOff>
      <xdr:row>20</xdr:row>
      <xdr:rowOff>143668</xdr:rowOff>
    </xdr:to>
    <xdr:cxnSp macro="">
      <xdr:nvCxnSpPr>
        <xdr:cNvPr id="4" name="Conector de seta reta 3"/>
        <xdr:cNvCxnSpPr/>
      </xdr:nvCxnSpPr>
      <xdr:spPr>
        <a:xfrm rot="5400000">
          <a:off x="766763" y="6500812"/>
          <a:ext cx="314324" cy="158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9525</xdr:colOff>
      <xdr:row>0</xdr:row>
      <xdr:rowOff>180975</xdr:rowOff>
    </xdr:from>
    <xdr:to>
      <xdr:col>17</xdr:col>
      <xdr:colOff>409575</xdr:colOff>
      <xdr:row>2</xdr:row>
      <xdr:rowOff>171450</xdr:rowOff>
    </xdr:to>
    <xdr:grpSp>
      <xdr:nvGrpSpPr>
        <xdr:cNvPr id="5" name="Grupo 4">
          <a:hlinkClick xmlns:r="http://schemas.openxmlformats.org/officeDocument/2006/relationships" r:id="rId1"/>
        </xdr:cNvPr>
        <xdr:cNvGrpSpPr/>
      </xdr:nvGrpSpPr>
      <xdr:grpSpPr>
        <a:xfrm>
          <a:off x="11127105" y="180975"/>
          <a:ext cx="400050" cy="356235"/>
          <a:chOff x="9334500" y="1162050"/>
          <a:chExt cx="400050" cy="371475"/>
        </a:xfrm>
      </xdr:grpSpPr>
      <xdr:sp macro="" textlink="">
        <xdr:nvSpPr>
          <xdr:cNvPr id="6" name="Elipse 5"/>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7" name="Seta circular 6"/>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10</xdr:col>
      <xdr:colOff>476250</xdr:colOff>
      <xdr:row>11</xdr:row>
      <xdr:rowOff>142875</xdr:rowOff>
    </xdr:from>
    <xdr:to>
      <xdr:col>10</xdr:col>
      <xdr:colOff>828675</xdr:colOff>
      <xdr:row>12</xdr:row>
      <xdr:rowOff>180975</xdr:rowOff>
    </xdr:to>
    <xdr:pic>
      <xdr:nvPicPr>
        <xdr:cNvPr id="102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657975" y="2257425"/>
          <a:ext cx="352425" cy="228600"/>
        </a:xfrm>
        <a:prstGeom prst="rect">
          <a:avLst/>
        </a:prstGeom>
        <a:noFill/>
      </xdr:spPr>
    </xdr:pic>
    <xdr:clientData/>
  </xdr:twoCellAnchor>
  <xdr:twoCellAnchor>
    <xdr:from>
      <xdr:col>6</xdr:col>
      <xdr:colOff>76202</xdr:colOff>
      <xdr:row>22</xdr:row>
      <xdr:rowOff>114301</xdr:rowOff>
    </xdr:from>
    <xdr:to>
      <xdr:col>8</xdr:col>
      <xdr:colOff>581025</xdr:colOff>
      <xdr:row>32</xdr:row>
      <xdr:rowOff>95251</xdr:rowOff>
    </xdr:to>
    <xdr:cxnSp macro="">
      <xdr:nvCxnSpPr>
        <xdr:cNvPr id="23" name="Conector de seta reta 22"/>
        <xdr:cNvCxnSpPr/>
      </xdr:nvCxnSpPr>
      <xdr:spPr>
        <a:xfrm rot="5400000">
          <a:off x="3481389" y="4510089"/>
          <a:ext cx="1885950" cy="1724023"/>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3</xdr:col>
      <xdr:colOff>323850</xdr:colOff>
      <xdr:row>5</xdr:row>
      <xdr:rowOff>142875</xdr:rowOff>
    </xdr:from>
    <xdr:to>
      <xdr:col>4</xdr:col>
      <xdr:colOff>81757</xdr:colOff>
      <xdr:row>7</xdr:row>
      <xdr:rowOff>19050</xdr:rowOff>
    </xdr:to>
    <xdr:pic>
      <xdr:nvPicPr>
        <xdr:cNvPr id="27"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1790700" y="1095375"/>
          <a:ext cx="558007" cy="361950"/>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123825</xdr:colOff>
      <xdr:row>0</xdr:row>
      <xdr:rowOff>95250</xdr:rowOff>
    </xdr:from>
    <xdr:to>
      <xdr:col>17</xdr:col>
      <xdr:colOff>400050</xdr:colOff>
      <xdr:row>3</xdr:row>
      <xdr:rowOff>85725</xdr:rowOff>
    </xdr:to>
    <xdr:sp macro="" textlink="">
      <xdr:nvSpPr>
        <xdr:cNvPr id="2" name="Retângulo 1"/>
        <xdr:cNvSpPr/>
      </xdr:nvSpPr>
      <xdr:spPr>
        <a:xfrm>
          <a:off x="123825" y="95250"/>
          <a:ext cx="11306175"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xdr:from>
      <xdr:col>2</xdr:col>
      <xdr:colOff>65881</xdr:colOff>
      <xdr:row>19</xdr:row>
      <xdr:rowOff>19844</xdr:rowOff>
    </xdr:from>
    <xdr:to>
      <xdr:col>2</xdr:col>
      <xdr:colOff>67469</xdr:colOff>
      <xdr:row>20</xdr:row>
      <xdr:rowOff>143668</xdr:rowOff>
    </xdr:to>
    <xdr:cxnSp macro="">
      <xdr:nvCxnSpPr>
        <xdr:cNvPr id="4" name="Conector de seta reta 3"/>
        <xdr:cNvCxnSpPr/>
      </xdr:nvCxnSpPr>
      <xdr:spPr>
        <a:xfrm rot="5400000">
          <a:off x="766763" y="4110037"/>
          <a:ext cx="314324" cy="158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16</xdr:col>
      <xdr:colOff>504825</xdr:colOff>
      <xdr:row>0</xdr:row>
      <xdr:rowOff>180975</xdr:rowOff>
    </xdr:from>
    <xdr:to>
      <xdr:col>17</xdr:col>
      <xdr:colOff>295275</xdr:colOff>
      <xdr:row>2</xdr:row>
      <xdr:rowOff>171450</xdr:rowOff>
    </xdr:to>
    <xdr:grpSp>
      <xdr:nvGrpSpPr>
        <xdr:cNvPr id="5" name="Grupo 4">
          <a:hlinkClick xmlns:r="http://schemas.openxmlformats.org/officeDocument/2006/relationships" r:id="rId1"/>
        </xdr:cNvPr>
        <xdr:cNvGrpSpPr/>
      </xdr:nvGrpSpPr>
      <xdr:grpSpPr>
        <a:xfrm>
          <a:off x="11012805" y="180975"/>
          <a:ext cx="400050" cy="356235"/>
          <a:chOff x="9334500" y="1162050"/>
          <a:chExt cx="400050" cy="371475"/>
        </a:xfrm>
      </xdr:grpSpPr>
      <xdr:sp macro="" textlink="">
        <xdr:nvSpPr>
          <xdr:cNvPr id="6" name="Elipse 5"/>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7" name="Seta circular 6"/>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xdr:from>
      <xdr:col>6</xdr:col>
      <xdr:colOff>76202</xdr:colOff>
      <xdr:row>22</xdr:row>
      <xdr:rowOff>114301</xdr:rowOff>
    </xdr:from>
    <xdr:to>
      <xdr:col>8</xdr:col>
      <xdr:colOff>581025</xdr:colOff>
      <xdr:row>32</xdr:row>
      <xdr:rowOff>95251</xdr:rowOff>
    </xdr:to>
    <xdr:cxnSp macro="">
      <xdr:nvCxnSpPr>
        <xdr:cNvPr id="9" name="Conector de seta reta 8"/>
        <xdr:cNvCxnSpPr/>
      </xdr:nvCxnSpPr>
      <xdr:spPr>
        <a:xfrm rot="5400000">
          <a:off x="3481389" y="4700589"/>
          <a:ext cx="1885950" cy="1724023"/>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18</xdr:col>
      <xdr:colOff>28576</xdr:colOff>
      <xdr:row>3</xdr:row>
      <xdr:rowOff>85725</xdr:rowOff>
    </xdr:to>
    <xdr:sp macro="" textlink="">
      <xdr:nvSpPr>
        <xdr:cNvPr id="2" name="Retângulo 1"/>
        <xdr:cNvSpPr/>
      </xdr:nvSpPr>
      <xdr:spPr>
        <a:xfrm>
          <a:off x="123826" y="95250"/>
          <a:ext cx="11239500"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xdr:from>
      <xdr:col>2</xdr:col>
      <xdr:colOff>65881</xdr:colOff>
      <xdr:row>32</xdr:row>
      <xdr:rowOff>19844</xdr:rowOff>
    </xdr:from>
    <xdr:to>
      <xdr:col>2</xdr:col>
      <xdr:colOff>67469</xdr:colOff>
      <xdr:row>33</xdr:row>
      <xdr:rowOff>143668</xdr:rowOff>
    </xdr:to>
    <xdr:cxnSp macro="">
      <xdr:nvCxnSpPr>
        <xdr:cNvPr id="4" name="Conector de seta reta 3"/>
        <xdr:cNvCxnSpPr/>
      </xdr:nvCxnSpPr>
      <xdr:spPr>
        <a:xfrm rot="5400000">
          <a:off x="766763" y="4110037"/>
          <a:ext cx="314324" cy="158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123825</xdr:colOff>
      <xdr:row>0</xdr:row>
      <xdr:rowOff>180975</xdr:rowOff>
    </xdr:from>
    <xdr:to>
      <xdr:col>17</xdr:col>
      <xdr:colOff>523875</xdr:colOff>
      <xdr:row>2</xdr:row>
      <xdr:rowOff>171450</xdr:rowOff>
    </xdr:to>
    <xdr:grpSp>
      <xdr:nvGrpSpPr>
        <xdr:cNvPr id="5" name="Grupo 4">
          <a:hlinkClick xmlns:r="http://schemas.openxmlformats.org/officeDocument/2006/relationships" r:id="rId1"/>
        </xdr:cNvPr>
        <xdr:cNvGrpSpPr/>
      </xdr:nvGrpSpPr>
      <xdr:grpSpPr>
        <a:xfrm>
          <a:off x="10928985" y="180975"/>
          <a:ext cx="400050" cy="356235"/>
          <a:chOff x="9334500" y="1162050"/>
          <a:chExt cx="400050" cy="371475"/>
        </a:xfrm>
      </xdr:grpSpPr>
      <xdr:sp macro="" textlink="">
        <xdr:nvSpPr>
          <xdr:cNvPr id="6" name="Elipse 5"/>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7" name="Seta circular 6"/>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xdr:from>
      <xdr:col>9</xdr:col>
      <xdr:colOff>275433</xdr:colOff>
      <xdr:row>32</xdr:row>
      <xdr:rowOff>114367</xdr:rowOff>
    </xdr:from>
    <xdr:to>
      <xdr:col>9</xdr:col>
      <xdr:colOff>285751</xdr:colOff>
      <xdr:row>36</xdr:row>
      <xdr:rowOff>48418</xdr:rowOff>
    </xdr:to>
    <xdr:cxnSp macro="">
      <xdr:nvCxnSpPr>
        <xdr:cNvPr id="9" name="Conector de seta reta 8"/>
        <xdr:cNvCxnSpPr/>
      </xdr:nvCxnSpPr>
      <xdr:spPr>
        <a:xfrm rot="5400000">
          <a:off x="5247516" y="6867559"/>
          <a:ext cx="696051" cy="1031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4</xdr:col>
      <xdr:colOff>9525</xdr:colOff>
      <xdr:row>22</xdr:row>
      <xdr:rowOff>114300</xdr:rowOff>
    </xdr:from>
    <xdr:to>
      <xdr:col>9</xdr:col>
      <xdr:colOff>704850</xdr:colOff>
      <xdr:row>29</xdr:row>
      <xdr:rowOff>123825</xdr:rowOff>
    </xdr:to>
    <xdr:pic>
      <xdr:nvPicPr>
        <xdr:cNvPr id="1033" name="Picture 9"/>
        <xdr:cNvPicPr>
          <a:picLocks noChangeAspect="1" noChangeArrowheads="1"/>
        </xdr:cNvPicPr>
      </xdr:nvPicPr>
      <xdr:blipFill>
        <a:blip xmlns:r="http://schemas.openxmlformats.org/officeDocument/2006/relationships" r:embed="rId2" cstate="print"/>
        <a:srcRect/>
        <a:stretch>
          <a:fillRect/>
        </a:stretch>
      </xdr:blipFill>
      <xdr:spPr bwMode="auto">
        <a:xfrm>
          <a:off x="2276475" y="4619625"/>
          <a:ext cx="3743325" cy="1343025"/>
        </a:xfrm>
        <a:prstGeom prst="rect">
          <a:avLst/>
        </a:prstGeom>
        <a:noFill/>
        <a:ln w="1">
          <a:noFill/>
          <a:miter lim="800000"/>
          <a:headEnd/>
          <a:tailEnd type="none" w="med" len="med"/>
        </a:ln>
        <a:effectLst/>
      </xdr:spPr>
    </xdr:pic>
    <xdr:clientData/>
  </xdr:twoCellAnchor>
  <xdr:twoCellAnchor>
    <xdr:from>
      <xdr:col>3</xdr:col>
      <xdr:colOff>390526</xdr:colOff>
      <xdr:row>24</xdr:row>
      <xdr:rowOff>104843</xdr:rowOff>
    </xdr:from>
    <xdr:to>
      <xdr:col>4</xdr:col>
      <xdr:colOff>190500</xdr:colOff>
      <xdr:row>26</xdr:row>
      <xdr:rowOff>57153</xdr:rowOff>
    </xdr:to>
    <xdr:cxnSp macro="">
      <xdr:nvCxnSpPr>
        <xdr:cNvPr id="17" name="Conector de seta reta 16"/>
        <xdr:cNvCxnSpPr/>
      </xdr:nvCxnSpPr>
      <xdr:spPr>
        <a:xfrm>
          <a:off x="1857376" y="4991168"/>
          <a:ext cx="600074" cy="333310"/>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175260</xdr:colOff>
      <xdr:row>0</xdr:row>
      <xdr:rowOff>80010</xdr:rowOff>
    </xdr:from>
    <xdr:to>
      <xdr:col>13</xdr:col>
      <xdr:colOff>582930</xdr:colOff>
      <xdr:row>3</xdr:row>
      <xdr:rowOff>70485</xdr:rowOff>
    </xdr:to>
    <xdr:sp macro="" textlink="">
      <xdr:nvSpPr>
        <xdr:cNvPr id="2" name="Retângulo 1"/>
        <xdr:cNvSpPr/>
      </xdr:nvSpPr>
      <xdr:spPr>
        <a:xfrm>
          <a:off x="175260" y="80010"/>
          <a:ext cx="8774430" cy="53911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354119"/>
        </a:xfrm>
        <a:prstGeom prst="rect">
          <a:avLst/>
        </a:prstGeom>
      </xdr:spPr>
    </xdr:pic>
    <xdr:clientData/>
  </xdr:twoCellAnchor>
  <xdr:twoCellAnchor>
    <xdr:from>
      <xdr:col>13</xdr:col>
      <xdr:colOff>43815</xdr:colOff>
      <xdr:row>0</xdr:row>
      <xdr:rowOff>173355</xdr:rowOff>
    </xdr:from>
    <xdr:to>
      <xdr:col>13</xdr:col>
      <xdr:colOff>443865</xdr:colOff>
      <xdr:row>2</xdr:row>
      <xdr:rowOff>163830</xdr:rowOff>
    </xdr:to>
    <xdr:grpSp>
      <xdr:nvGrpSpPr>
        <xdr:cNvPr id="5" name="Grupo 4">
          <a:hlinkClick xmlns:r="http://schemas.openxmlformats.org/officeDocument/2006/relationships" r:id="rId2"/>
        </xdr:cNvPr>
        <xdr:cNvGrpSpPr/>
      </xdr:nvGrpSpPr>
      <xdr:grpSpPr>
        <a:xfrm>
          <a:off x="8410575" y="173355"/>
          <a:ext cx="400050" cy="356235"/>
          <a:chOff x="9334500" y="1162050"/>
          <a:chExt cx="400050" cy="371475"/>
        </a:xfrm>
      </xdr:grpSpPr>
      <xdr:sp macro="" textlink="">
        <xdr:nvSpPr>
          <xdr:cNvPr id="6" name="Elipse 5"/>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7" name="Seta circular 6"/>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24</xdr:row>
      <xdr:rowOff>114300</xdr:rowOff>
    </xdr:from>
    <xdr:to>
      <xdr:col>9</xdr:col>
      <xdr:colOff>609600</xdr:colOff>
      <xdr:row>24</xdr:row>
      <xdr:rowOff>114300</xdr:rowOff>
    </xdr:to>
    <xdr:pic>
      <xdr:nvPicPr>
        <xdr:cNvPr id="9" name="Picture 9"/>
        <xdr:cNvPicPr>
          <a:picLocks noChangeAspect="1" noChangeArrowheads="1"/>
        </xdr:cNvPicPr>
      </xdr:nvPicPr>
      <xdr:blipFill>
        <a:blip xmlns:r="http://schemas.openxmlformats.org/officeDocument/2006/relationships" r:embed="rId3"/>
        <a:srcRect/>
        <a:stretch>
          <a:fillRect/>
        </a:stretch>
      </xdr:blipFill>
      <xdr:spPr bwMode="auto">
        <a:xfrm>
          <a:off x="2276475" y="4619625"/>
          <a:ext cx="3743325" cy="1343025"/>
        </a:xfrm>
        <a:prstGeom prst="rect">
          <a:avLst/>
        </a:prstGeom>
        <a:noFill/>
        <a:ln w="1">
          <a:noFill/>
          <a:miter lim="800000"/>
          <a:headEnd/>
          <a:tailEnd type="none" w="med" len="med"/>
        </a:ln>
        <a:effectLst/>
      </xdr:spPr>
    </xdr:pic>
    <xdr:clientData/>
  </xdr:twoCellAnchor>
  <xdr:twoCellAnchor>
    <xdr:from>
      <xdr:col>5</xdr:col>
      <xdr:colOff>323850</xdr:colOff>
      <xdr:row>33</xdr:row>
      <xdr:rowOff>133349</xdr:rowOff>
    </xdr:from>
    <xdr:to>
      <xdr:col>8</xdr:col>
      <xdr:colOff>9525</xdr:colOff>
      <xdr:row>42</xdr:row>
      <xdr:rowOff>66674</xdr:rowOff>
    </xdr:to>
    <xdr:cxnSp macro="">
      <xdr:nvCxnSpPr>
        <xdr:cNvPr id="10" name="Conector de seta reta 9"/>
        <xdr:cNvCxnSpPr>
          <a:endCxn id="1028" idx="1"/>
        </xdr:cNvCxnSpPr>
      </xdr:nvCxnSpPr>
      <xdr:spPr>
        <a:xfrm rot="16200000" flipH="1">
          <a:off x="3133725" y="6800849"/>
          <a:ext cx="1647825" cy="1514475"/>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1</xdr:col>
      <xdr:colOff>419100</xdr:colOff>
      <xdr:row>25</xdr:row>
      <xdr:rowOff>45448</xdr:rowOff>
    </xdr:from>
    <xdr:to>
      <xdr:col>14</xdr:col>
      <xdr:colOff>495300</xdr:colOff>
      <xdr:row>30</xdr:row>
      <xdr:rowOff>152400</xdr:rowOff>
    </xdr:to>
    <xdr:pic>
      <xdr:nvPicPr>
        <xdr:cNvPr id="1026" name="Picture 2"/>
        <xdr:cNvPicPr>
          <a:picLocks noChangeAspect="1" noChangeArrowheads="1"/>
        </xdr:cNvPicPr>
      </xdr:nvPicPr>
      <xdr:blipFill>
        <a:blip xmlns:r="http://schemas.openxmlformats.org/officeDocument/2006/relationships" r:embed="rId4" cstate="print"/>
        <a:srcRect/>
        <a:stretch>
          <a:fillRect/>
        </a:stretch>
      </xdr:blipFill>
      <xdr:spPr bwMode="auto">
        <a:xfrm>
          <a:off x="666750" y="5122273"/>
          <a:ext cx="8724900" cy="1059452"/>
        </a:xfrm>
        <a:prstGeom prst="rect">
          <a:avLst/>
        </a:prstGeom>
        <a:noFill/>
      </xdr:spPr>
    </xdr:pic>
    <xdr:clientData/>
  </xdr:twoCellAnchor>
  <xdr:twoCellAnchor>
    <xdr:from>
      <xdr:col>6</xdr:col>
      <xdr:colOff>476250</xdr:colOff>
      <xdr:row>23</xdr:row>
      <xdr:rowOff>133350</xdr:rowOff>
    </xdr:from>
    <xdr:to>
      <xdr:col>9</xdr:col>
      <xdr:colOff>333375</xdr:colOff>
      <xdr:row>28</xdr:row>
      <xdr:rowOff>38100</xdr:rowOff>
    </xdr:to>
    <xdr:cxnSp macro="">
      <xdr:nvCxnSpPr>
        <xdr:cNvPr id="14" name="Conector de seta reta 13"/>
        <xdr:cNvCxnSpPr/>
      </xdr:nvCxnSpPr>
      <xdr:spPr>
        <a:xfrm>
          <a:off x="3962400" y="4829175"/>
          <a:ext cx="1685925" cy="857250"/>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8</xdr:col>
      <xdr:colOff>9525</xdr:colOff>
      <xdr:row>34</xdr:row>
      <xdr:rowOff>114300</xdr:rowOff>
    </xdr:from>
    <xdr:to>
      <xdr:col>11</xdr:col>
      <xdr:colOff>542925</xdr:colOff>
      <xdr:row>50</xdr:row>
      <xdr:rowOff>19050</xdr:rowOff>
    </xdr:to>
    <xdr:pic>
      <xdr:nvPicPr>
        <xdr:cNvPr id="1028" name="Picture 4"/>
        <xdr:cNvPicPr>
          <a:picLocks noChangeAspect="1" noChangeArrowheads="1"/>
        </xdr:cNvPicPr>
      </xdr:nvPicPr>
      <xdr:blipFill>
        <a:blip xmlns:r="http://schemas.openxmlformats.org/officeDocument/2006/relationships" r:embed="rId5" cstate="print"/>
        <a:srcRect/>
        <a:stretch>
          <a:fillRect/>
        </a:stretch>
      </xdr:blipFill>
      <xdr:spPr bwMode="auto">
        <a:xfrm>
          <a:off x="4714875" y="6905625"/>
          <a:ext cx="2895600" cy="2952750"/>
        </a:xfrm>
        <a:prstGeom prst="rect">
          <a:avLst/>
        </a:prstGeom>
        <a:noFill/>
      </xdr:spPr>
    </xdr:pic>
    <xdr:clientData/>
  </xdr:twoCellAnchor>
  <xdr:twoCellAnchor>
    <xdr:from>
      <xdr:col>9</xdr:col>
      <xdr:colOff>590550</xdr:colOff>
      <xdr:row>36</xdr:row>
      <xdr:rowOff>133350</xdr:rowOff>
    </xdr:from>
    <xdr:to>
      <xdr:col>13</xdr:col>
      <xdr:colOff>114300</xdr:colOff>
      <xdr:row>38</xdr:row>
      <xdr:rowOff>180978</xdr:rowOff>
    </xdr:to>
    <xdr:cxnSp macro="">
      <xdr:nvCxnSpPr>
        <xdr:cNvPr id="24" name="Conector de seta reta 23"/>
        <xdr:cNvCxnSpPr/>
      </xdr:nvCxnSpPr>
      <xdr:spPr>
        <a:xfrm rot="10800000" flipV="1">
          <a:off x="5905500" y="7305675"/>
          <a:ext cx="2495550" cy="42862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2</xdr:col>
      <xdr:colOff>161925</xdr:colOff>
      <xdr:row>57</xdr:row>
      <xdr:rowOff>104775</xdr:rowOff>
    </xdr:from>
    <xdr:to>
      <xdr:col>6</xdr:col>
      <xdr:colOff>552450</xdr:colOff>
      <xdr:row>77</xdr:row>
      <xdr:rowOff>95250</xdr:rowOff>
    </xdr:to>
    <xdr:pic>
      <xdr:nvPicPr>
        <xdr:cNvPr id="1030" name="Picture 6"/>
        <xdr:cNvPicPr>
          <a:picLocks noChangeAspect="1" noChangeArrowheads="1"/>
        </xdr:cNvPicPr>
      </xdr:nvPicPr>
      <xdr:blipFill>
        <a:blip xmlns:r="http://schemas.openxmlformats.org/officeDocument/2006/relationships" r:embed="rId6" cstate="print"/>
        <a:srcRect/>
        <a:stretch>
          <a:fillRect/>
        </a:stretch>
      </xdr:blipFill>
      <xdr:spPr bwMode="auto">
        <a:xfrm>
          <a:off x="1019175" y="11277600"/>
          <a:ext cx="3019425" cy="3800475"/>
        </a:xfrm>
        <a:prstGeom prst="rect">
          <a:avLst/>
        </a:prstGeom>
        <a:noFill/>
      </xdr:spPr>
    </xdr:pic>
    <xdr:clientData/>
  </xdr:twoCellAnchor>
  <xdr:twoCellAnchor>
    <xdr:from>
      <xdr:col>5</xdr:col>
      <xdr:colOff>114302</xdr:colOff>
      <xdr:row>65</xdr:row>
      <xdr:rowOff>152400</xdr:rowOff>
    </xdr:from>
    <xdr:to>
      <xdr:col>8</xdr:col>
      <xdr:colOff>495300</xdr:colOff>
      <xdr:row>73</xdr:row>
      <xdr:rowOff>123828</xdr:rowOff>
    </xdr:to>
    <xdr:cxnSp macro="">
      <xdr:nvCxnSpPr>
        <xdr:cNvPr id="30" name="Conector de seta reta 29"/>
        <xdr:cNvCxnSpPr/>
      </xdr:nvCxnSpPr>
      <xdr:spPr>
        <a:xfrm rot="10800000" flipV="1">
          <a:off x="2990852" y="12849225"/>
          <a:ext cx="2209798" cy="149542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2</xdr:col>
      <xdr:colOff>123825</xdr:colOff>
      <xdr:row>78</xdr:row>
      <xdr:rowOff>104775</xdr:rowOff>
    </xdr:from>
    <xdr:to>
      <xdr:col>9</xdr:col>
      <xdr:colOff>781050</xdr:colOff>
      <xdr:row>99</xdr:row>
      <xdr:rowOff>66675</xdr:rowOff>
    </xdr:to>
    <xdr:pic>
      <xdr:nvPicPr>
        <xdr:cNvPr id="1032" name="Picture 8"/>
        <xdr:cNvPicPr>
          <a:picLocks noChangeAspect="1" noChangeArrowheads="1"/>
        </xdr:cNvPicPr>
      </xdr:nvPicPr>
      <xdr:blipFill>
        <a:blip xmlns:r="http://schemas.openxmlformats.org/officeDocument/2006/relationships" r:embed="rId7" cstate="print"/>
        <a:srcRect/>
        <a:stretch>
          <a:fillRect/>
        </a:stretch>
      </xdr:blipFill>
      <xdr:spPr bwMode="auto">
        <a:xfrm>
          <a:off x="981075" y="15278100"/>
          <a:ext cx="5114925" cy="3962400"/>
        </a:xfrm>
        <a:prstGeom prst="rect">
          <a:avLst/>
        </a:prstGeom>
        <a:noFill/>
      </xdr:spPr>
    </xdr:pic>
    <xdr:clientData/>
  </xdr:twoCellAnchor>
  <xdr:twoCellAnchor>
    <xdr:from>
      <xdr:col>8</xdr:col>
      <xdr:colOff>19052</xdr:colOff>
      <xdr:row>72</xdr:row>
      <xdr:rowOff>123825</xdr:rowOff>
    </xdr:from>
    <xdr:to>
      <xdr:col>10</xdr:col>
      <xdr:colOff>666750</xdr:colOff>
      <xdr:row>80</xdr:row>
      <xdr:rowOff>95253</xdr:rowOff>
    </xdr:to>
    <xdr:cxnSp macro="">
      <xdr:nvCxnSpPr>
        <xdr:cNvPr id="35" name="Conector de seta reta 34"/>
        <xdr:cNvCxnSpPr/>
      </xdr:nvCxnSpPr>
      <xdr:spPr>
        <a:xfrm rot="10800000" flipV="1">
          <a:off x="4724402" y="14154150"/>
          <a:ext cx="2209798" cy="1495428"/>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428625</xdr:colOff>
      <xdr:row>82</xdr:row>
      <xdr:rowOff>57150</xdr:rowOff>
    </xdr:from>
    <xdr:to>
      <xdr:col>10</xdr:col>
      <xdr:colOff>771527</xdr:colOff>
      <xdr:row>82</xdr:row>
      <xdr:rowOff>76202</xdr:rowOff>
    </xdr:to>
    <xdr:cxnSp macro="">
      <xdr:nvCxnSpPr>
        <xdr:cNvPr id="36" name="Conector de seta reta 35"/>
        <xdr:cNvCxnSpPr/>
      </xdr:nvCxnSpPr>
      <xdr:spPr>
        <a:xfrm rot="10800000">
          <a:off x="1895475" y="15992475"/>
          <a:ext cx="5143502" cy="19052"/>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0908030"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24</xdr:row>
      <xdr:rowOff>114300</xdr:rowOff>
    </xdr:from>
    <xdr:to>
      <xdr:col>9</xdr:col>
      <xdr:colOff>152400</xdr:colOff>
      <xdr:row>24</xdr:row>
      <xdr:rowOff>114300</xdr:rowOff>
    </xdr:to>
    <xdr:pic>
      <xdr:nvPicPr>
        <xdr:cNvPr id="7" name="Picture 9"/>
        <xdr:cNvPicPr>
          <a:picLocks noChangeAspect="1" noChangeArrowheads="1"/>
        </xdr:cNvPicPr>
      </xdr:nvPicPr>
      <xdr:blipFill>
        <a:blip xmlns:r="http://schemas.openxmlformats.org/officeDocument/2006/relationships" r:embed="rId3"/>
        <a:srcRect/>
        <a:stretch>
          <a:fillRect/>
        </a:stretch>
      </xdr:blipFill>
      <xdr:spPr bwMode="auto">
        <a:xfrm>
          <a:off x="2276475" y="5000625"/>
          <a:ext cx="3648075" cy="0"/>
        </a:xfrm>
        <a:prstGeom prst="rect">
          <a:avLst/>
        </a:prstGeom>
        <a:noFill/>
        <a:ln w="1">
          <a:noFill/>
          <a:miter lim="800000"/>
          <a:headEnd/>
          <a:tailEnd type="none" w="med" len="med"/>
        </a:ln>
        <a:effectLst/>
      </xdr:spPr>
    </xdr:pic>
    <xdr:clientData/>
  </xdr:twoCellAnchor>
  <xdr:twoCellAnchor editAs="oneCell">
    <xdr:from>
      <xdr:col>0</xdr:col>
      <xdr:colOff>219075</xdr:colOff>
      <xdr:row>1</xdr:row>
      <xdr:rowOff>9525</xdr:rowOff>
    </xdr:from>
    <xdr:to>
      <xdr:col>2</xdr:col>
      <xdr:colOff>352425</xdr:colOff>
      <xdr:row>1</xdr:row>
      <xdr:rowOff>9525</xdr:rowOff>
    </xdr:to>
    <xdr:pic>
      <xdr:nvPicPr>
        <xdr:cNvPr id="9" name="Imagem 8" descr="Imagem1.png"/>
        <xdr:cNvPicPr>
          <a:picLocks noChangeAspect="1"/>
        </xdr:cNvPicPr>
      </xdr:nvPicPr>
      <xdr:blipFill>
        <a:blip xmlns:r="http://schemas.openxmlformats.org/officeDocument/2006/relationships" r:embed="rId1" cstate="print"/>
        <a:stretch>
          <a:fillRect/>
        </a:stretch>
      </xdr:blipFill>
      <xdr:spPr>
        <a:xfrm>
          <a:off x="219075" y="200025"/>
          <a:ext cx="628650" cy="354119"/>
        </a:xfrm>
        <a:prstGeom prst="rect">
          <a:avLst/>
        </a:prstGeom>
      </xdr:spPr>
    </xdr:pic>
    <xdr:clientData/>
  </xdr:twoCellAnchor>
  <xdr:twoCellAnchor editAs="oneCell">
    <xdr:from>
      <xdr:col>1</xdr:col>
      <xdr:colOff>419100</xdr:colOff>
      <xdr:row>25</xdr:row>
      <xdr:rowOff>45448</xdr:rowOff>
    </xdr:from>
    <xdr:to>
      <xdr:col>12</xdr:col>
      <xdr:colOff>533400</xdr:colOff>
      <xdr:row>25</xdr:row>
      <xdr:rowOff>45448</xdr:rowOff>
    </xdr:to>
    <xdr:pic>
      <xdr:nvPicPr>
        <xdr:cNvPr id="10" name="Picture 2"/>
        <xdr:cNvPicPr>
          <a:picLocks noChangeAspect="1" noChangeArrowheads="1"/>
        </xdr:cNvPicPr>
      </xdr:nvPicPr>
      <xdr:blipFill>
        <a:blip xmlns:r="http://schemas.openxmlformats.org/officeDocument/2006/relationships" r:embed="rId4"/>
        <a:srcRect/>
        <a:stretch>
          <a:fillRect/>
        </a:stretch>
      </xdr:blipFill>
      <xdr:spPr bwMode="auto">
        <a:xfrm>
          <a:off x="666750" y="5122273"/>
          <a:ext cx="8724900" cy="1059452"/>
        </a:xfrm>
        <a:prstGeom prst="rect">
          <a:avLst/>
        </a:prstGeom>
        <a:noFill/>
      </xdr:spPr>
    </xdr:pic>
    <xdr:clientData/>
  </xdr:twoCellAnchor>
  <xdr:twoCellAnchor editAs="oneCell">
    <xdr:from>
      <xdr:col>8</xdr:col>
      <xdr:colOff>9525</xdr:colOff>
      <xdr:row>34</xdr:row>
      <xdr:rowOff>114300</xdr:rowOff>
    </xdr:from>
    <xdr:to>
      <xdr:col>10</xdr:col>
      <xdr:colOff>590550</xdr:colOff>
      <xdr:row>34</xdr:row>
      <xdr:rowOff>114300</xdr:rowOff>
    </xdr:to>
    <xdr:pic>
      <xdr:nvPicPr>
        <xdr:cNvPr id="12" name="Picture 4"/>
        <xdr:cNvPicPr>
          <a:picLocks noChangeAspect="1" noChangeArrowheads="1"/>
        </xdr:cNvPicPr>
      </xdr:nvPicPr>
      <xdr:blipFill>
        <a:blip xmlns:r="http://schemas.openxmlformats.org/officeDocument/2006/relationships" r:embed="rId5"/>
        <a:srcRect/>
        <a:stretch>
          <a:fillRect/>
        </a:stretch>
      </xdr:blipFill>
      <xdr:spPr bwMode="auto">
        <a:xfrm>
          <a:off x="4714875" y="6905625"/>
          <a:ext cx="2895600" cy="2952750"/>
        </a:xfrm>
        <a:prstGeom prst="rect">
          <a:avLst/>
        </a:prstGeom>
        <a:noFill/>
      </xdr:spPr>
    </xdr:pic>
    <xdr:clientData/>
  </xdr:twoCellAnchor>
  <xdr:twoCellAnchor editAs="oneCell">
    <xdr:from>
      <xdr:col>2</xdr:col>
      <xdr:colOff>161925</xdr:colOff>
      <xdr:row>57</xdr:row>
      <xdr:rowOff>104775</xdr:rowOff>
    </xdr:from>
    <xdr:to>
      <xdr:col>6</xdr:col>
      <xdr:colOff>361950</xdr:colOff>
      <xdr:row>57</xdr:row>
      <xdr:rowOff>104775</xdr:rowOff>
    </xdr:to>
    <xdr:pic>
      <xdr:nvPicPr>
        <xdr:cNvPr id="14" name="Picture 6"/>
        <xdr:cNvPicPr>
          <a:picLocks noChangeAspect="1" noChangeArrowheads="1"/>
        </xdr:cNvPicPr>
      </xdr:nvPicPr>
      <xdr:blipFill>
        <a:blip xmlns:r="http://schemas.openxmlformats.org/officeDocument/2006/relationships" r:embed="rId6"/>
        <a:srcRect/>
        <a:stretch>
          <a:fillRect/>
        </a:stretch>
      </xdr:blipFill>
      <xdr:spPr bwMode="auto">
        <a:xfrm>
          <a:off x="1019175" y="11277600"/>
          <a:ext cx="3019425" cy="3800475"/>
        </a:xfrm>
        <a:prstGeom prst="rect">
          <a:avLst/>
        </a:prstGeom>
        <a:noFill/>
      </xdr:spPr>
    </xdr:pic>
    <xdr:clientData/>
  </xdr:twoCellAnchor>
  <xdr:twoCellAnchor editAs="oneCell">
    <xdr:from>
      <xdr:col>2</xdr:col>
      <xdr:colOff>123825</xdr:colOff>
      <xdr:row>78</xdr:row>
      <xdr:rowOff>104775</xdr:rowOff>
    </xdr:from>
    <xdr:to>
      <xdr:col>8</xdr:col>
      <xdr:colOff>790575</xdr:colOff>
      <xdr:row>78</xdr:row>
      <xdr:rowOff>104775</xdr:rowOff>
    </xdr:to>
    <xdr:pic>
      <xdr:nvPicPr>
        <xdr:cNvPr id="16" name="Picture 8"/>
        <xdr:cNvPicPr>
          <a:picLocks noChangeAspect="1" noChangeArrowheads="1"/>
        </xdr:cNvPicPr>
      </xdr:nvPicPr>
      <xdr:blipFill>
        <a:blip xmlns:r="http://schemas.openxmlformats.org/officeDocument/2006/relationships" r:embed="rId7"/>
        <a:srcRect/>
        <a:stretch>
          <a:fillRect/>
        </a:stretch>
      </xdr:blipFill>
      <xdr:spPr bwMode="auto">
        <a:xfrm>
          <a:off x="981075" y="15278100"/>
          <a:ext cx="5114925" cy="3962400"/>
        </a:xfrm>
        <a:prstGeom prst="rect">
          <a:avLst/>
        </a:prstGeom>
        <a:noFill/>
      </xdr:spPr>
    </xdr:pic>
    <xdr:clientData/>
  </xdr:twoCellAnchor>
  <xdr:twoCellAnchor>
    <xdr:from>
      <xdr:col>8</xdr:col>
      <xdr:colOff>247650</xdr:colOff>
      <xdr:row>29</xdr:row>
      <xdr:rowOff>161925</xdr:rowOff>
    </xdr:from>
    <xdr:to>
      <xdr:col>10</xdr:col>
      <xdr:colOff>190500</xdr:colOff>
      <xdr:row>31</xdr:row>
      <xdr:rowOff>38100</xdr:rowOff>
    </xdr:to>
    <xdr:sp macro="" textlink="">
      <xdr:nvSpPr>
        <xdr:cNvPr id="20" name="Retângulo 19"/>
        <xdr:cNvSpPr/>
      </xdr:nvSpPr>
      <xdr:spPr>
        <a:xfrm>
          <a:off x="5191125" y="6000750"/>
          <a:ext cx="1724025" cy="257175"/>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pt-BR" sz="1100"/>
        </a:p>
      </xdr:txBody>
    </xdr:sp>
    <xdr:clientData/>
  </xdr:twoCellAnchor>
  <xdr:twoCellAnchor>
    <xdr:from>
      <xdr:col>9</xdr:col>
      <xdr:colOff>280987</xdr:colOff>
      <xdr:row>27</xdr:row>
      <xdr:rowOff>47626</xdr:rowOff>
    </xdr:from>
    <xdr:to>
      <xdr:col>10</xdr:col>
      <xdr:colOff>533400</xdr:colOff>
      <xdr:row>29</xdr:row>
      <xdr:rowOff>161926</xdr:rowOff>
    </xdr:to>
    <xdr:cxnSp macro="">
      <xdr:nvCxnSpPr>
        <xdr:cNvPr id="23" name="Conector de seta reta 22"/>
        <xdr:cNvCxnSpPr>
          <a:stCxn id="20" idx="0"/>
        </xdr:cNvCxnSpPr>
      </xdr:nvCxnSpPr>
      <xdr:spPr>
        <a:xfrm rot="5400000" flipH="1" flipV="1">
          <a:off x="6407944" y="5150644"/>
          <a:ext cx="495300" cy="1204913"/>
        </a:xfrm>
        <a:prstGeom prst="straightConnector1">
          <a:avLst/>
        </a:prstGeom>
        <a:ln>
          <a:solidFill>
            <a:srgbClr val="FF0000"/>
          </a:solidFill>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190500</xdr:colOff>
      <xdr:row>29</xdr:row>
      <xdr:rowOff>161925</xdr:rowOff>
    </xdr:from>
    <xdr:to>
      <xdr:col>12</xdr:col>
      <xdr:colOff>590550</xdr:colOff>
      <xdr:row>31</xdr:row>
      <xdr:rowOff>38100</xdr:rowOff>
    </xdr:to>
    <xdr:sp macro="" textlink="">
      <xdr:nvSpPr>
        <xdr:cNvPr id="24" name="Retângulo 23"/>
        <xdr:cNvSpPr/>
      </xdr:nvSpPr>
      <xdr:spPr>
        <a:xfrm>
          <a:off x="6915150" y="6000750"/>
          <a:ext cx="1809750" cy="257175"/>
        </a:xfrm>
        <a:prstGeom prst="rect">
          <a:avLst/>
        </a:prstGeom>
        <a:noFill/>
        <a:ln>
          <a:solidFill>
            <a:schemeClr val="tx2"/>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pt-BR" sz="1100"/>
        </a:p>
      </xdr:txBody>
    </xdr:sp>
    <xdr:clientData/>
  </xdr:twoCellAnchor>
  <xdr:twoCellAnchor>
    <xdr:from>
      <xdr:col>12</xdr:col>
      <xdr:colOff>590549</xdr:colOff>
      <xdr:row>29</xdr:row>
      <xdr:rowOff>161925</xdr:rowOff>
    </xdr:from>
    <xdr:to>
      <xdr:col>16</xdr:col>
      <xdr:colOff>28574</xdr:colOff>
      <xdr:row>31</xdr:row>
      <xdr:rowOff>38100</xdr:rowOff>
    </xdr:to>
    <xdr:sp macro="" textlink="">
      <xdr:nvSpPr>
        <xdr:cNvPr id="25" name="Retângulo 24"/>
        <xdr:cNvSpPr/>
      </xdr:nvSpPr>
      <xdr:spPr>
        <a:xfrm>
          <a:off x="8724899" y="6000750"/>
          <a:ext cx="1876425" cy="257175"/>
        </a:xfrm>
        <a:prstGeom prst="rect">
          <a:avLst/>
        </a:prstGeom>
        <a:noFill/>
        <a:ln>
          <a:solidFill>
            <a:srgbClr val="00B050"/>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pt-BR" sz="1100"/>
        </a:p>
      </xdr:txBody>
    </xdr:sp>
    <xdr:clientData/>
  </xdr:twoCellAnchor>
  <xdr:twoCellAnchor>
    <xdr:from>
      <xdr:col>12</xdr:col>
      <xdr:colOff>409578</xdr:colOff>
      <xdr:row>27</xdr:row>
      <xdr:rowOff>9525</xdr:rowOff>
    </xdr:from>
    <xdr:to>
      <xdr:col>14</xdr:col>
      <xdr:colOff>309562</xdr:colOff>
      <xdr:row>29</xdr:row>
      <xdr:rowOff>161925</xdr:rowOff>
    </xdr:to>
    <xdr:cxnSp macro="">
      <xdr:nvCxnSpPr>
        <xdr:cNvPr id="26" name="Conector de seta reta 25"/>
        <xdr:cNvCxnSpPr>
          <a:stCxn id="25" idx="0"/>
        </xdr:cNvCxnSpPr>
      </xdr:nvCxnSpPr>
      <xdr:spPr>
        <a:xfrm rot="16200000" flipV="1">
          <a:off x="8836820" y="5174458"/>
          <a:ext cx="533400" cy="1119184"/>
        </a:xfrm>
        <a:prstGeom prst="straightConnector1">
          <a:avLst/>
        </a:prstGeom>
        <a:ln>
          <a:solidFill>
            <a:srgbClr val="00B050"/>
          </a:solidFill>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11</xdr:col>
      <xdr:colOff>295274</xdr:colOff>
      <xdr:row>27</xdr:row>
      <xdr:rowOff>9526</xdr:rowOff>
    </xdr:from>
    <xdr:to>
      <xdr:col>11</xdr:col>
      <xdr:colOff>419099</xdr:colOff>
      <xdr:row>29</xdr:row>
      <xdr:rowOff>161926</xdr:rowOff>
    </xdr:to>
    <xdr:cxnSp macro="">
      <xdr:nvCxnSpPr>
        <xdr:cNvPr id="27" name="Conector de seta reta 26"/>
        <xdr:cNvCxnSpPr>
          <a:stCxn id="24" idx="0"/>
        </xdr:cNvCxnSpPr>
      </xdr:nvCxnSpPr>
      <xdr:spPr>
        <a:xfrm rot="5400000" flipH="1" flipV="1">
          <a:off x="7615237" y="5672138"/>
          <a:ext cx="533400" cy="123825"/>
        </a:xfrm>
        <a:prstGeom prst="straightConnector1">
          <a:avLst/>
        </a:prstGeom>
        <a:ln>
          <a:solidFill>
            <a:schemeClr val="tx2"/>
          </a:solidFill>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266700</xdr:colOff>
      <xdr:row>27</xdr:row>
      <xdr:rowOff>0</xdr:rowOff>
    </xdr:from>
    <xdr:to>
      <xdr:col>11</xdr:col>
      <xdr:colOff>9525</xdr:colOff>
      <xdr:row>27</xdr:row>
      <xdr:rowOff>1588</xdr:rowOff>
    </xdr:to>
    <xdr:cxnSp macro="">
      <xdr:nvCxnSpPr>
        <xdr:cNvPr id="32" name="Conector reto 31"/>
        <xdr:cNvCxnSpPr/>
      </xdr:nvCxnSpPr>
      <xdr:spPr>
        <a:xfrm>
          <a:off x="6991350" y="5457825"/>
          <a:ext cx="542925" cy="1588"/>
        </a:xfrm>
        <a:prstGeom prst="line">
          <a:avLst/>
        </a:prstGeom>
        <a:ln>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11</xdr:col>
      <xdr:colOff>142875</xdr:colOff>
      <xdr:row>27</xdr:row>
      <xdr:rowOff>0</xdr:rowOff>
    </xdr:from>
    <xdr:to>
      <xdr:col>12</xdr:col>
      <xdr:colOff>76200</xdr:colOff>
      <xdr:row>27</xdr:row>
      <xdr:rowOff>1588</xdr:rowOff>
    </xdr:to>
    <xdr:cxnSp macro="">
      <xdr:nvCxnSpPr>
        <xdr:cNvPr id="33" name="Conector reto 32"/>
        <xdr:cNvCxnSpPr/>
      </xdr:nvCxnSpPr>
      <xdr:spPr>
        <a:xfrm>
          <a:off x="7667625" y="5457825"/>
          <a:ext cx="542925" cy="1588"/>
        </a:xfrm>
        <a:prstGeom prst="line">
          <a:avLst/>
        </a:prstGeom>
        <a:ln>
          <a:solidFill>
            <a:schemeClr val="tx2"/>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247650</xdr:colOff>
      <xdr:row>27</xdr:row>
      <xdr:rowOff>0</xdr:rowOff>
    </xdr:from>
    <xdr:to>
      <xdr:col>12</xdr:col>
      <xdr:colOff>552450</xdr:colOff>
      <xdr:row>27</xdr:row>
      <xdr:rowOff>1588</xdr:rowOff>
    </xdr:to>
    <xdr:cxnSp macro="">
      <xdr:nvCxnSpPr>
        <xdr:cNvPr id="34" name="Conector reto 33"/>
        <xdr:cNvCxnSpPr/>
      </xdr:nvCxnSpPr>
      <xdr:spPr>
        <a:xfrm>
          <a:off x="8382000" y="5457825"/>
          <a:ext cx="304800" cy="1588"/>
        </a:xfrm>
        <a:prstGeom prst="line">
          <a:avLst/>
        </a:prstGeom>
        <a:ln>
          <a:solidFill>
            <a:srgbClr val="00B05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571503</xdr:colOff>
      <xdr:row>23</xdr:row>
      <xdr:rowOff>9524</xdr:rowOff>
    </xdr:from>
    <xdr:to>
      <xdr:col>7</xdr:col>
      <xdr:colOff>581029</xdr:colOff>
      <xdr:row>26</xdr:row>
      <xdr:rowOff>9528</xdr:rowOff>
    </xdr:to>
    <xdr:cxnSp macro="">
      <xdr:nvCxnSpPr>
        <xdr:cNvPr id="40" name="Conector de seta reta 39"/>
        <xdr:cNvCxnSpPr/>
      </xdr:nvCxnSpPr>
      <xdr:spPr>
        <a:xfrm rot="5400000">
          <a:off x="4386264" y="4986338"/>
          <a:ext cx="571504" cy="9526"/>
        </a:xfrm>
        <a:prstGeom prst="straightConnector1">
          <a:avLst/>
        </a:prstGeom>
        <a:ln>
          <a:solidFill>
            <a:srgbClr val="FF0000"/>
          </a:solidFill>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257174</xdr:colOff>
      <xdr:row>3</xdr:row>
      <xdr:rowOff>180975</xdr:rowOff>
    </xdr:to>
    <xdr:sp macro="" textlink="">
      <xdr:nvSpPr>
        <xdr:cNvPr id="2" name="Retângulo 1"/>
        <xdr:cNvSpPr/>
      </xdr:nvSpPr>
      <xdr:spPr>
        <a:xfrm>
          <a:off x="247650" y="19050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xdr:from>
      <xdr:col>16</xdr:col>
      <xdr:colOff>333374</xdr:colOff>
      <xdr:row>1</xdr:row>
      <xdr:rowOff>85725</xdr:rowOff>
    </xdr:from>
    <xdr:to>
      <xdr:col>17</xdr:col>
      <xdr:colOff>123824</xdr:colOff>
      <xdr:row>3</xdr:row>
      <xdr:rowOff>76200</xdr:rowOff>
    </xdr:to>
    <xdr:grpSp>
      <xdr:nvGrpSpPr>
        <xdr:cNvPr id="3" name="Grupo 2">
          <a:hlinkClick xmlns:r="http://schemas.openxmlformats.org/officeDocument/2006/relationships" r:id="rId1"/>
        </xdr:cNvPr>
        <xdr:cNvGrpSpPr/>
      </xdr:nvGrpSpPr>
      <xdr:grpSpPr>
        <a:xfrm>
          <a:off x="10906124" y="276225"/>
          <a:ext cx="400050" cy="371475"/>
          <a:chOff x="9334500" y="1162050"/>
          <a:chExt cx="400050" cy="371475"/>
        </a:xfrm>
      </xdr:grpSpPr>
      <xdr:sp macro="" textlink="">
        <xdr:nvSpPr>
          <xdr:cNvPr id="4" name="Elipse 3"/>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5" name="Seta circular 4"/>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0908030"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24</xdr:row>
      <xdr:rowOff>114300</xdr:rowOff>
    </xdr:from>
    <xdr:to>
      <xdr:col>8</xdr:col>
      <xdr:colOff>285750</xdr:colOff>
      <xdr:row>24</xdr:row>
      <xdr:rowOff>114300</xdr:rowOff>
    </xdr:to>
    <xdr:pic>
      <xdr:nvPicPr>
        <xdr:cNvPr id="7" name="Picture 9"/>
        <xdr:cNvPicPr>
          <a:picLocks noChangeAspect="1" noChangeArrowheads="1"/>
        </xdr:cNvPicPr>
      </xdr:nvPicPr>
      <xdr:blipFill>
        <a:blip xmlns:r="http://schemas.openxmlformats.org/officeDocument/2006/relationships" r:embed="rId3"/>
        <a:srcRect/>
        <a:stretch>
          <a:fillRect/>
        </a:stretch>
      </xdr:blipFill>
      <xdr:spPr bwMode="auto">
        <a:xfrm>
          <a:off x="2276475" y="5000625"/>
          <a:ext cx="3190875" cy="0"/>
        </a:xfrm>
        <a:prstGeom prst="rect">
          <a:avLst/>
        </a:prstGeom>
        <a:noFill/>
        <a:ln w="1">
          <a:noFill/>
          <a:miter lim="800000"/>
          <a:headEnd/>
          <a:tailEnd type="none" w="med" len="med"/>
        </a:ln>
        <a:effectLst/>
      </xdr:spPr>
    </xdr:pic>
    <xdr:clientData/>
  </xdr:twoCellAnchor>
  <xdr:twoCellAnchor editAs="oneCell">
    <xdr:from>
      <xdr:col>0</xdr:col>
      <xdr:colOff>219075</xdr:colOff>
      <xdr:row>1</xdr:row>
      <xdr:rowOff>9525</xdr:rowOff>
    </xdr:from>
    <xdr:to>
      <xdr:col>3</xdr:col>
      <xdr:colOff>466725</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1352550" cy="0"/>
        </a:xfrm>
        <a:prstGeom prst="rect">
          <a:avLst/>
        </a:prstGeom>
      </xdr:spPr>
    </xdr:pic>
    <xdr:clientData/>
  </xdr:twoCellAnchor>
  <xdr:twoCellAnchor editAs="oneCell">
    <xdr:from>
      <xdr:col>1</xdr:col>
      <xdr:colOff>419100</xdr:colOff>
      <xdr:row>25</xdr:row>
      <xdr:rowOff>45448</xdr:rowOff>
    </xdr:from>
    <xdr:to>
      <xdr:col>9</xdr:col>
      <xdr:colOff>571500</xdr:colOff>
      <xdr:row>25</xdr:row>
      <xdr:rowOff>45448</xdr:rowOff>
    </xdr:to>
    <xdr:pic>
      <xdr:nvPicPr>
        <xdr:cNvPr id="9" name="Picture 2"/>
        <xdr:cNvPicPr>
          <a:picLocks noChangeAspect="1" noChangeArrowheads="1"/>
        </xdr:cNvPicPr>
      </xdr:nvPicPr>
      <xdr:blipFill>
        <a:blip xmlns:r="http://schemas.openxmlformats.org/officeDocument/2006/relationships" r:embed="rId4"/>
        <a:srcRect/>
        <a:stretch>
          <a:fillRect/>
        </a:stretch>
      </xdr:blipFill>
      <xdr:spPr bwMode="auto">
        <a:xfrm>
          <a:off x="666750" y="5122273"/>
          <a:ext cx="6819900" cy="0"/>
        </a:xfrm>
        <a:prstGeom prst="rect">
          <a:avLst/>
        </a:prstGeom>
        <a:noFill/>
      </xdr:spPr>
    </xdr:pic>
    <xdr:clientData/>
  </xdr:twoCellAnchor>
  <xdr:twoCellAnchor editAs="oneCell">
    <xdr:from>
      <xdr:col>8</xdr:col>
      <xdr:colOff>9525</xdr:colOff>
      <xdr:row>34</xdr:row>
      <xdr:rowOff>114300</xdr:rowOff>
    </xdr:from>
    <xdr:to>
      <xdr:col>9</xdr:col>
      <xdr:colOff>419100</xdr:colOff>
      <xdr:row>34</xdr:row>
      <xdr:rowOff>114300</xdr:rowOff>
    </xdr:to>
    <xdr:pic>
      <xdr:nvPicPr>
        <xdr:cNvPr id="10" name="Picture 4"/>
        <xdr:cNvPicPr>
          <a:picLocks noChangeAspect="1" noChangeArrowheads="1"/>
        </xdr:cNvPicPr>
      </xdr:nvPicPr>
      <xdr:blipFill>
        <a:blip xmlns:r="http://schemas.openxmlformats.org/officeDocument/2006/relationships" r:embed="rId5"/>
        <a:srcRect/>
        <a:stretch>
          <a:fillRect/>
        </a:stretch>
      </xdr:blipFill>
      <xdr:spPr bwMode="auto">
        <a:xfrm>
          <a:off x="4953000" y="6905625"/>
          <a:ext cx="1800225"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1" name="Imagem 10" descr="Imagem1.png"/>
        <xdr:cNvPicPr>
          <a:picLocks noChangeAspect="1"/>
        </xdr:cNvPicPr>
      </xdr:nvPicPr>
      <xdr:blipFill>
        <a:blip xmlns:r="http://schemas.openxmlformats.org/officeDocument/2006/relationships" r:embed="rId1" cstate="print"/>
        <a:stretch>
          <a:fillRect/>
        </a:stretch>
      </xdr:blipFill>
      <xdr:spPr>
        <a:xfrm>
          <a:off x="285750" y="228600"/>
          <a:ext cx="628650" cy="0"/>
        </a:xfrm>
        <a:prstGeom prst="rect">
          <a:avLst/>
        </a:prstGeom>
      </xdr:spPr>
    </xdr:pic>
    <xdr:clientData/>
  </xdr:twoCellAnchor>
  <xdr:twoCellAnchor>
    <xdr:from>
      <xdr:col>11</xdr:col>
      <xdr:colOff>238125</xdr:colOff>
      <xdr:row>28</xdr:row>
      <xdr:rowOff>180975</xdr:rowOff>
    </xdr:from>
    <xdr:to>
      <xdr:col>12</xdr:col>
      <xdr:colOff>85725</xdr:colOff>
      <xdr:row>31</xdr:row>
      <xdr:rowOff>0</xdr:rowOff>
    </xdr:to>
    <xdr:cxnSp macro="">
      <xdr:nvCxnSpPr>
        <xdr:cNvPr id="12" name="Conector de seta reta 11"/>
        <xdr:cNvCxnSpPr/>
      </xdr:nvCxnSpPr>
      <xdr:spPr>
        <a:xfrm flipV="1">
          <a:off x="7762875" y="5829300"/>
          <a:ext cx="457200" cy="390525"/>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285750</xdr:colOff>
      <xdr:row>28</xdr:row>
      <xdr:rowOff>180975</xdr:rowOff>
    </xdr:from>
    <xdr:to>
      <xdr:col>12</xdr:col>
      <xdr:colOff>447678</xdr:colOff>
      <xdr:row>30</xdr:row>
      <xdr:rowOff>152403</xdr:rowOff>
    </xdr:to>
    <xdr:cxnSp macro="">
      <xdr:nvCxnSpPr>
        <xdr:cNvPr id="13" name="Conector de seta reta 12"/>
        <xdr:cNvCxnSpPr/>
      </xdr:nvCxnSpPr>
      <xdr:spPr>
        <a:xfrm rot="16200000" flipV="1">
          <a:off x="8324850" y="5924550"/>
          <a:ext cx="352428" cy="161928"/>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0908030"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24</xdr:row>
      <xdr:rowOff>114300</xdr:rowOff>
    </xdr:from>
    <xdr:to>
      <xdr:col>8</xdr:col>
      <xdr:colOff>523875</xdr:colOff>
      <xdr:row>24</xdr:row>
      <xdr:rowOff>114300</xdr:rowOff>
    </xdr:to>
    <xdr:pic>
      <xdr:nvPicPr>
        <xdr:cNvPr id="7" name="Picture 9"/>
        <xdr:cNvPicPr>
          <a:picLocks noChangeAspect="1" noChangeArrowheads="1"/>
        </xdr:cNvPicPr>
      </xdr:nvPicPr>
      <xdr:blipFill>
        <a:blip xmlns:r="http://schemas.openxmlformats.org/officeDocument/2006/relationships" r:embed="rId3"/>
        <a:srcRect/>
        <a:stretch>
          <a:fillRect/>
        </a:stretch>
      </xdr:blipFill>
      <xdr:spPr bwMode="auto">
        <a:xfrm>
          <a:off x="2276475" y="5000625"/>
          <a:ext cx="3648075" cy="0"/>
        </a:xfrm>
        <a:prstGeom prst="rect">
          <a:avLst/>
        </a:prstGeom>
        <a:noFill/>
        <a:ln w="1">
          <a:noFill/>
          <a:miter lim="800000"/>
          <a:headEnd/>
          <a:tailEnd type="none" w="med" len="med"/>
        </a:ln>
        <a:effectLst/>
      </xdr:spPr>
    </xdr:pic>
    <xdr:clientData/>
  </xdr:twoCellAnchor>
  <xdr:twoCellAnchor editAs="oneCell">
    <xdr:from>
      <xdr:col>0</xdr:col>
      <xdr:colOff>219075</xdr:colOff>
      <xdr:row>1</xdr:row>
      <xdr:rowOff>9525</xdr:rowOff>
    </xdr:from>
    <xdr:to>
      <xdr:col>3</xdr:col>
      <xdr:colOff>104775</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990600" cy="0"/>
        </a:xfrm>
        <a:prstGeom prst="rect">
          <a:avLst/>
        </a:prstGeom>
      </xdr:spPr>
    </xdr:pic>
    <xdr:clientData/>
  </xdr:twoCellAnchor>
  <xdr:twoCellAnchor editAs="oneCell">
    <xdr:from>
      <xdr:col>1</xdr:col>
      <xdr:colOff>419100</xdr:colOff>
      <xdr:row>25</xdr:row>
      <xdr:rowOff>45448</xdr:rowOff>
    </xdr:from>
    <xdr:to>
      <xdr:col>10</xdr:col>
      <xdr:colOff>762000</xdr:colOff>
      <xdr:row>25</xdr:row>
      <xdr:rowOff>45448</xdr:rowOff>
    </xdr:to>
    <xdr:pic>
      <xdr:nvPicPr>
        <xdr:cNvPr id="9" name="Picture 2"/>
        <xdr:cNvPicPr>
          <a:picLocks noChangeAspect="1" noChangeArrowheads="1"/>
        </xdr:cNvPicPr>
      </xdr:nvPicPr>
      <xdr:blipFill>
        <a:blip xmlns:r="http://schemas.openxmlformats.org/officeDocument/2006/relationships" r:embed="rId4"/>
        <a:srcRect/>
        <a:stretch>
          <a:fillRect/>
        </a:stretch>
      </xdr:blipFill>
      <xdr:spPr bwMode="auto">
        <a:xfrm>
          <a:off x="666750" y="5122273"/>
          <a:ext cx="8001000" cy="0"/>
        </a:xfrm>
        <a:prstGeom prst="rect">
          <a:avLst/>
        </a:prstGeom>
        <a:noFill/>
      </xdr:spPr>
    </xdr:pic>
    <xdr:clientData/>
  </xdr:twoCellAnchor>
  <xdr:twoCellAnchor editAs="oneCell">
    <xdr:from>
      <xdr:col>8</xdr:col>
      <xdr:colOff>9525</xdr:colOff>
      <xdr:row>34</xdr:row>
      <xdr:rowOff>114300</xdr:rowOff>
    </xdr:from>
    <xdr:to>
      <xdr:col>10</xdr:col>
      <xdr:colOff>28575</xdr:colOff>
      <xdr:row>34</xdr:row>
      <xdr:rowOff>114300</xdr:rowOff>
    </xdr:to>
    <xdr:pic>
      <xdr:nvPicPr>
        <xdr:cNvPr id="10" name="Picture 4"/>
        <xdr:cNvPicPr>
          <a:picLocks noChangeAspect="1" noChangeArrowheads="1"/>
        </xdr:cNvPicPr>
      </xdr:nvPicPr>
      <xdr:blipFill>
        <a:blip xmlns:r="http://schemas.openxmlformats.org/officeDocument/2006/relationships" r:embed="rId5"/>
        <a:srcRect/>
        <a:stretch>
          <a:fillRect/>
        </a:stretch>
      </xdr:blipFill>
      <xdr:spPr bwMode="auto">
        <a:xfrm>
          <a:off x="4953000" y="6905625"/>
          <a:ext cx="2362200" cy="0"/>
        </a:xfrm>
        <a:prstGeom prst="rect">
          <a:avLst/>
        </a:prstGeom>
        <a:noFill/>
      </xdr:spPr>
    </xdr:pic>
    <xdr:clientData/>
  </xdr:twoCellAnchor>
  <xdr:twoCellAnchor editAs="oneCell">
    <xdr:from>
      <xdr:col>2</xdr:col>
      <xdr:colOff>161925</xdr:colOff>
      <xdr:row>57</xdr:row>
      <xdr:rowOff>104775</xdr:rowOff>
    </xdr:from>
    <xdr:to>
      <xdr:col>6</xdr:col>
      <xdr:colOff>171450</xdr:colOff>
      <xdr:row>57</xdr:row>
      <xdr:rowOff>104775</xdr:rowOff>
    </xdr:to>
    <xdr:pic>
      <xdr:nvPicPr>
        <xdr:cNvPr id="11" name="Picture 6"/>
        <xdr:cNvPicPr>
          <a:picLocks noChangeAspect="1" noChangeArrowheads="1"/>
        </xdr:cNvPicPr>
      </xdr:nvPicPr>
      <xdr:blipFill>
        <a:blip xmlns:r="http://schemas.openxmlformats.org/officeDocument/2006/relationships" r:embed="rId6"/>
        <a:srcRect/>
        <a:stretch>
          <a:fillRect/>
        </a:stretch>
      </xdr:blipFill>
      <xdr:spPr bwMode="auto">
        <a:xfrm>
          <a:off x="1019175" y="11277600"/>
          <a:ext cx="2828925" cy="0"/>
        </a:xfrm>
        <a:prstGeom prst="rect">
          <a:avLst/>
        </a:prstGeom>
        <a:noFill/>
      </xdr:spPr>
    </xdr:pic>
    <xdr:clientData/>
  </xdr:twoCellAnchor>
  <xdr:twoCellAnchor editAs="oneCell">
    <xdr:from>
      <xdr:col>2</xdr:col>
      <xdr:colOff>123825</xdr:colOff>
      <xdr:row>78</xdr:row>
      <xdr:rowOff>104775</xdr:rowOff>
    </xdr:from>
    <xdr:to>
      <xdr:col>8</xdr:col>
      <xdr:colOff>180975</xdr:colOff>
      <xdr:row>78</xdr:row>
      <xdr:rowOff>104775</xdr:rowOff>
    </xdr:to>
    <xdr:pic>
      <xdr:nvPicPr>
        <xdr:cNvPr id="12" name="Picture 8"/>
        <xdr:cNvPicPr>
          <a:picLocks noChangeAspect="1" noChangeArrowheads="1"/>
        </xdr:cNvPicPr>
      </xdr:nvPicPr>
      <xdr:blipFill>
        <a:blip xmlns:r="http://schemas.openxmlformats.org/officeDocument/2006/relationships" r:embed="rId7"/>
        <a:srcRect/>
        <a:stretch>
          <a:fillRect/>
        </a:stretch>
      </xdr:blipFill>
      <xdr:spPr bwMode="auto">
        <a:xfrm>
          <a:off x="981075" y="15278100"/>
          <a:ext cx="4752975"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3" name="Imagem 12" descr="Imagem1.png"/>
        <xdr:cNvPicPr>
          <a:picLocks noChangeAspect="1"/>
        </xdr:cNvPicPr>
      </xdr:nvPicPr>
      <xdr:blipFill>
        <a:blip xmlns:r="http://schemas.openxmlformats.org/officeDocument/2006/relationships" r:embed="rId1" cstate="print"/>
        <a:stretch>
          <a:fillRect/>
        </a:stretch>
      </xdr:blipFill>
      <xdr:spPr>
        <a:xfrm>
          <a:off x="285750" y="228600"/>
          <a:ext cx="628650" cy="354119"/>
        </a:xfrm>
        <a:prstGeom prst="rect">
          <a:avLst/>
        </a:prstGeom>
      </xdr:spPr>
    </xdr:pic>
    <xdr:clientData/>
  </xdr:twoCellAnchor>
  <xdr:twoCellAnchor>
    <xdr:from>
      <xdr:col>7</xdr:col>
      <xdr:colOff>838201</xdr:colOff>
      <xdr:row>29</xdr:row>
      <xdr:rowOff>161925</xdr:rowOff>
    </xdr:from>
    <xdr:to>
      <xdr:col>9</xdr:col>
      <xdr:colOff>619125</xdr:colOff>
      <xdr:row>31</xdr:row>
      <xdr:rowOff>38100</xdr:rowOff>
    </xdr:to>
    <xdr:sp macro="" textlink="">
      <xdr:nvSpPr>
        <xdr:cNvPr id="14" name="Retângulo 13"/>
        <xdr:cNvSpPr/>
      </xdr:nvSpPr>
      <xdr:spPr>
        <a:xfrm>
          <a:off x="4933951" y="6000750"/>
          <a:ext cx="1457324" cy="257175"/>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pt-BR" sz="1100"/>
        </a:p>
      </xdr:txBody>
    </xdr:sp>
    <xdr:clientData/>
  </xdr:twoCellAnchor>
  <xdr:twoCellAnchor>
    <xdr:from>
      <xdr:col>8</xdr:col>
      <xdr:colOff>719137</xdr:colOff>
      <xdr:row>26</xdr:row>
      <xdr:rowOff>152404</xdr:rowOff>
    </xdr:from>
    <xdr:to>
      <xdr:col>10</xdr:col>
      <xdr:colOff>114303</xdr:colOff>
      <xdr:row>29</xdr:row>
      <xdr:rowOff>161926</xdr:rowOff>
    </xdr:to>
    <xdr:cxnSp macro="">
      <xdr:nvCxnSpPr>
        <xdr:cNvPr id="15" name="Conector de seta reta 14"/>
        <xdr:cNvCxnSpPr>
          <a:stCxn id="14" idx="0"/>
        </xdr:cNvCxnSpPr>
      </xdr:nvCxnSpPr>
      <xdr:spPr>
        <a:xfrm rot="5400000" flipH="1" flipV="1">
          <a:off x="5960272" y="5122069"/>
          <a:ext cx="581022" cy="1176341"/>
        </a:xfrm>
        <a:prstGeom prst="straightConnector1">
          <a:avLst/>
        </a:prstGeom>
        <a:ln>
          <a:solidFill>
            <a:srgbClr val="FF0000"/>
          </a:solidFill>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619125</xdr:colOff>
      <xdr:row>29</xdr:row>
      <xdr:rowOff>161925</xdr:rowOff>
    </xdr:from>
    <xdr:to>
      <xdr:col>12</xdr:col>
      <xdr:colOff>123825</xdr:colOff>
      <xdr:row>31</xdr:row>
      <xdr:rowOff>38100</xdr:rowOff>
    </xdr:to>
    <xdr:sp macro="" textlink="">
      <xdr:nvSpPr>
        <xdr:cNvPr id="16" name="Retângulo 15"/>
        <xdr:cNvSpPr/>
      </xdr:nvSpPr>
      <xdr:spPr>
        <a:xfrm>
          <a:off x="6391275" y="6000750"/>
          <a:ext cx="1866900" cy="257175"/>
        </a:xfrm>
        <a:prstGeom prst="rect">
          <a:avLst/>
        </a:prstGeom>
        <a:noFill/>
        <a:ln>
          <a:solidFill>
            <a:schemeClr val="tx2"/>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pt-BR" sz="1100"/>
        </a:p>
      </xdr:txBody>
    </xdr:sp>
    <xdr:clientData/>
  </xdr:twoCellAnchor>
  <xdr:twoCellAnchor>
    <xdr:from>
      <xdr:col>12</xdr:col>
      <xdr:colOff>123824</xdr:colOff>
      <xdr:row>29</xdr:row>
      <xdr:rowOff>161925</xdr:rowOff>
    </xdr:from>
    <xdr:to>
      <xdr:col>14</xdr:col>
      <xdr:colOff>295275</xdr:colOff>
      <xdr:row>31</xdr:row>
      <xdr:rowOff>38100</xdr:rowOff>
    </xdr:to>
    <xdr:sp macro="" textlink="">
      <xdr:nvSpPr>
        <xdr:cNvPr id="17" name="Retângulo 16"/>
        <xdr:cNvSpPr/>
      </xdr:nvSpPr>
      <xdr:spPr>
        <a:xfrm>
          <a:off x="8258174" y="6000750"/>
          <a:ext cx="1390651" cy="257175"/>
        </a:xfrm>
        <a:prstGeom prst="rect">
          <a:avLst/>
        </a:prstGeom>
        <a:noFill/>
        <a:ln>
          <a:solidFill>
            <a:srgbClr val="00B050"/>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pt-BR" sz="1100"/>
        </a:p>
      </xdr:txBody>
    </xdr:sp>
    <xdr:clientData/>
  </xdr:twoCellAnchor>
  <xdr:twoCellAnchor>
    <xdr:from>
      <xdr:col>11</xdr:col>
      <xdr:colOff>504826</xdr:colOff>
      <xdr:row>27</xdr:row>
      <xdr:rowOff>19050</xdr:rowOff>
    </xdr:from>
    <xdr:to>
      <xdr:col>13</xdr:col>
      <xdr:colOff>209551</xdr:colOff>
      <xdr:row>29</xdr:row>
      <xdr:rowOff>161925</xdr:rowOff>
    </xdr:to>
    <xdr:cxnSp macro="">
      <xdr:nvCxnSpPr>
        <xdr:cNvPr id="18" name="Conector de seta reta 17"/>
        <xdr:cNvCxnSpPr>
          <a:stCxn id="17" idx="0"/>
        </xdr:cNvCxnSpPr>
      </xdr:nvCxnSpPr>
      <xdr:spPr>
        <a:xfrm rot="16200000" flipV="1">
          <a:off x="8229601" y="5276850"/>
          <a:ext cx="523875" cy="923925"/>
        </a:xfrm>
        <a:prstGeom prst="straightConnector1">
          <a:avLst/>
        </a:prstGeom>
        <a:ln>
          <a:solidFill>
            <a:srgbClr val="00B050"/>
          </a:solidFill>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600075</xdr:colOff>
      <xdr:row>27</xdr:row>
      <xdr:rowOff>19051</xdr:rowOff>
    </xdr:from>
    <xdr:to>
      <xdr:col>11</xdr:col>
      <xdr:colOff>114300</xdr:colOff>
      <xdr:row>29</xdr:row>
      <xdr:rowOff>161926</xdr:rowOff>
    </xdr:to>
    <xdr:cxnSp macro="">
      <xdr:nvCxnSpPr>
        <xdr:cNvPr id="19" name="Conector de seta reta 18"/>
        <xdr:cNvCxnSpPr>
          <a:stCxn id="16" idx="0"/>
        </xdr:cNvCxnSpPr>
      </xdr:nvCxnSpPr>
      <xdr:spPr>
        <a:xfrm rot="5400000" flipH="1" flipV="1">
          <a:off x="7219950" y="5581651"/>
          <a:ext cx="523875" cy="314325"/>
        </a:xfrm>
        <a:prstGeom prst="straightConnector1">
          <a:avLst/>
        </a:prstGeom>
        <a:ln>
          <a:solidFill>
            <a:schemeClr val="tx2"/>
          </a:solidFill>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95250</xdr:colOff>
      <xdr:row>27</xdr:row>
      <xdr:rowOff>0</xdr:rowOff>
    </xdr:from>
    <xdr:to>
      <xdr:col>10</xdr:col>
      <xdr:colOff>638175</xdr:colOff>
      <xdr:row>27</xdr:row>
      <xdr:rowOff>1588</xdr:rowOff>
    </xdr:to>
    <xdr:cxnSp macro="">
      <xdr:nvCxnSpPr>
        <xdr:cNvPr id="20" name="Conector reto 19"/>
        <xdr:cNvCxnSpPr/>
      </xdr:nvCxnSpPr>
      <xdr:spPr>
        <a:xfrm>
          <a:off x="6819900" y="5457825"/>
          <a:ext cx="542925" cy="1588"/>
        </a:xfrm>
        <a:prstGeom prst="line">
          <a:avLst/>
        </a:prstGeom>
        <a:ln>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685800</xdr:colOff>
      <xdr:row>27</xdr:row>
      <xdr:rowOff>0</xdr:rowOff>
    </xdr:from>
    <xdr:to>
      <xdr:col>11</xdr:col>
      <xdr:colOff>304800</xdr:colOff>
      <xdr:row>27</xdr:row>
      <xdr:rowOff>1588</xdr:rowOff>
    </xdr:to>
    <xdr:cxnSp macro="">
      <xdr:nvCxnSpPr>
        <xdr:cNvPr id="21" name="Conector reto 20"/>
        <xdr:cNvCxnSpPr/>
      </xdr:nvCxnSpPr>
      <xdr:spPr>
        <a:xfrm>
          <a:off x="7410450" y="5457825"/>
          <a:ext cx="419100" cy="1588"/>
        </a:xfrm>
        <a:prstGeom prst="line">
          <a:avLst/>
        </a:prstGeom>
        <a:ln>
          <a:solidFill>
            <a:schemeClr val="tx2"/>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11</xdr:col>
      <xdr:colOff>333375</xdr:colOff>
      <xdr:row>27</xdr:row>
      <xdr:rowOff>0</xdr:rowOff>
    </xdr:from>
    <xdr:to>
      <xdr:col>12</xdr:col>
      <xdr:colOff>28575</xdr:colOff>
      <xdr:row>27</xdr:row>
      <xdr:rowOff>1588</xdr:rowOff>
    </xdr:to>
    <xdr:cxnSp macro="">
      <xdr:nvCxnSpPr>
        <xdr:cNvPr id="22" name="Conector reto 21"/>
        <xdr:cNvCxnSpPr/>
      </xdr:nvCxnSpPr>
      <xdr:spPr>
        <a:xfrm>
          <a:off x="7858125" y="5457825"/>
          <a:ext cx="304800" cy="1588"/>
        </a:xfrm>
        <a:prstGeom prst="line">
          <a:avLst/>
        </a:prstGeom>
        <a:ln>
          <a:solidFill>
            <a:srgbClr val="00B05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571501</xdr:colOff>
      <xdr:row>23</xdr:row>
      <xdr:rowOff>9524</xdr:rowOff>
    </xdr:from>
    <xdr:to>
      <xdr:col>7</xdr:col>
      <xdr:colOff>581030</xdr:colOff>
      <xdr:row>25</xdr:row>
      <xdr:rowOff>9525</xdr:rowOff>
    </xdr:to>
    <xdr:cxnSp macro="">
      <xdr:nvCxnSpPr>
        <xdr:cNvPr id="23" name="Conector de seta reta 22"/>
        <xdr:cNvCxnSpPr/>
      </xdr:nvCxnSpPr>
      <xdr:spPr>
        <a:xfrm rot="5400000">
          <a:off x="4481515" y="4891085"/>
          <a:ext cx="381001" cy="9529"/>
        </a:xfrm>
        <a:prstGeom prst="straightConnector1">
          <a:avLst/>
        </a:prstGeom>
        <a:ln>
          <a:solidFill>
            <a:srgbClr val="FF0000"/>
          </a:solidFill>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419101</xdr:colOff>
      <xdr:row>22</xdr:row>
      <xdr:rowOff>190499</xdr:rowOff>
    </xdr:from>
    <xdr:to>
      <xdr:col>8</xdr:col>
      <xdr:colOff>428632</xdr:colOff>
      <xdr:row>25</xdr:row>
      <xdr:rowOff>114300</xdr:rowOff>
    </xdr:to>
    <xdr:cxnSp macro="">
      <xdr:nvCxnSpPr>
        <xdr:cNvPr id="35" name="Conector de seta reta 34"/>
        <xdr:cNvCxnSpPr/>
      </xdr:nvCxnSpPr>
      <xdr:spPr>
        <a:xfrm rot="5400000">
          <a:off x="5119691" y="4938709"/>
          <a:ext cx="495301" cy="9531"/>
        </a:xfrm>
        <a:prstGeom prst="straightConnector1">
          <a:avLst/>
        </a:prstGeom>
        <a:ln>
          <a:solidFill>
            <a:srgbClr val="FF0000"/>
          </a:solidFill>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0908030"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0</xdr:col>
      <xdr:colOff>219075</xdr:colOff>
      <xdr:row>1</xdr:row>
      <xdr:rowOff>9525</xdr:rowOff>
    </xdr:from>
    <xdr:to>
      <xdr:col>4</xdr:col>
      <xdr:colOff>28575</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1714500" cy="0"/>
        </a:xfrm>
        <a:prstGeom prst="rect">
          <a:avLst/>
        </a:prstGeom>
      </xdr:spPr>
    </xdr:pic>
    <xdr:clientData/>
  </xdr:twoCellAnchor>
  <xdr:twoCellAnchor editAs="oneCell">
    <xdr:from>
      <xdr:col>1</xdr:col>
      <xdr:colOff>419100</xdr:colOff>
      <xdr:row>20</xdr:row>
      <xdr:rowOff>45448</xdr:rowOff>
    </xdr:from>
    <xdr:to>
      <xdr:col>8</xdr:col>
      <xdr:colOff>752475</xdr:colOff>
      <xdr:row>20</xdr:row>
      <xdr:rowOff>45448</xdr:rowOff>
    </xdr:to>
    <xdr:pic>
      <xdr:nvPicPr>
        <xdr:cNvPr id="9" name="Picture 2"/>
        <xdr:cNvPicPr>
          <a:picLocks noChangeAspect="1" noChangeArrowheads="1"/>
        </xdr:cNvPicPr>
      </xdr:nvPicPr>
      <xdr:blipFill>
        <a:blip xmlns:r="http://schemas.openxmlformats.org/officeDocument/2006/relationships" r:embed="rId3"/>
        <a:srcRect/>
        <a:stretch>
          <a:fillRect/>
        </a:stretch>
      </xdr:blipFill>
      <xdr:spPr bwMode="auto">
        <a:xfrm>
          <a:off x="666750" y="5122273"/>
          <a:ext cx="5676900" cy="0"/>
        </a:xfrm>
        <a:prstGeom prst="rect">
          <a:avLst/>
        </a:prstGeom>
        <a:noFill/>
      </xdr:spPr>
    </xdr:pic>
    <xdr:clientData/>
  </xdr:twoCellAnchor>
  <xdr:twoCellAnchor editAs="oneCell">
    <xdr:from>
      <xdr:col>8</xdr:col>
      <xdr:colOff>9525</xdr:colOff>
      <xdr:row>29</xdr:row>
      <xdr:rowOff>114300</xdr:rowOff>
    </xdr:from>
    <xdr:to>
      <xdr:col>9</xdr:col>
      <xdr:colOff>200025</xdr:colOff>
      <xdr:row>29</xdr:row>
      <xdr:rowOff>114300</xdr:rowOff>
    </xdr:to>
    <xdr:pic>
      <xdr:nvPicPr>
        <xdr:cNvPr id="10" name="Picture 4"/>
        <xdr:cNvPicPr>
          <a:picLocks noChangeAspect="1" noChangeArrowheads="1"/>
        </xdr:cNvPicPr>
      </xdr:nvPicPr>
      <xdr:blipFill>
        <a:blip xmlns:r="http://schemas.openxmlformats.org/officeDocument/2006/relationships" r:embed="rId4"/>
        <a:srcRect/>
        <a:stretch>
          <a:fillRect/>
        </a:stretch>
      </xdr:blipFill>
      <xdr:spPr bwMode="auto">
        <a:xfrm>
          <a:off x="4953000" y="6905625"/>
          <a:ext cx="1238250"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1" name="Imagem 10" descr="Imagem1.png"/>
        <xdr:cNvPicPr>
          <a:picLocks noChangeAspect="1"/>
        </xdr:cNvPicPr>
      </xdr:nvPicPr>
      <xdr:blipFill>
        <a:blip xmlns:r="http://schemas.openxmlformats.org/officeDocument/2006/relationships" r:embed="rId1" cstate="print"/>
        <a:stretch>
          <a:fillRect/>
        </a:stretch>
      </xdr:blipFill>
      <xdr:spPr>
        <a:xfrm>
          <a:off x="285750" y="228600"/>
          <a:ext cx="628650" cy="0"/>
        </a:xfrm>
        <a:prstGeom prst="rect">
          <a:avLst/>
        </a:prstGeom>
      </xdr:spPr>
    </xdr:pic>
    <xdr:clientData/>
  </xdr:twoCellAnchor>
  <xdr:twoCellAnchor>
    <xdr:from>
      <xdr:col>9</xdr:col>
      <xdr:colOff>438150</xdr:colOff>
      <xdr:row>21</xdr:row>
      <xdr:rowOff>0</xdr:rowOff>
    </xdr:from>
    <xdr:to>
      <xdr:col>9</xdr:col>
      <xdr:colOff>906780</xdr:colOff>
      <xdr:row>22</xdr:row>
      <xdr:rowOff>171451</xdr:rowOff>
    </xdr:to>
    <xdr:cxnSp macro="">
      <xdr:nvCxnSpPr>
        <xdr:cNvPr id="12" name="Conector de seta reta 11"/>
        <xdr:cNvCxnSpPr/>
      </xdr:nvCxnSpPr>
      <xdr:spPr>
        <a:xfrm flipV="1">
          <a:off x="6282690" y="4069080"/>
          <a:ext cx="468630" cy="354331"/>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0908030"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0</xdr:col>
      <xdr:colOff>219075</xdr:colOff>
      <xdr:row>1</xdr:row>
      <xdr:rowOff>9525</xdr:rowOff>
    </xdr:from>
    <xdr:to>
      <xdr:col>4</xdr:col>
      <xdr:colOff>200025</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2076450" cy="0"/>
        </a:xfrm>
        <a:prstGeom prst="rect">
          <a:avLst/>
        </a:prstGeom>
      </xdr:spPr>
    </xdr:pic>
    <xdr:clientData/>
  </xdr:twoCellAnchor>
  <xdr:twoCellAnchor editAs="oneCell">
    <xdr:from>
      <xdr:col>1</xdr:col>
      <xdr:colOff>419100</xdr:colOff>
      <xdr:row>20</xdr:row>
      <xdr:rowOff>45448</xdr:rowOff>
    </xdr:from>
    <xdr:to>
      <xdr:col>8</xdr:col>
      <xdr:colOff>180975</xdr:colOff>
      <xdr:row>20</xdr:row>
      <xdr:rowOff>45448</xdr:rowOff>
    </xdr:to>
    <xdr:pic>
      <xdr:nvPicPr>
        <xdr:cNvPr id="9" name="Picture 2"/>
        <xdr:cNvPicPr>
          <a:picLocks noChangeAspect="1" noChangeArrowheads="1"/>
        </xdr:cNvPicPr>
      </xdr:nvPicPr>
      <xdr:blipFill>
        <a:blip xmlns:r="http://schemas.openxmlformats.org/officeDocument/2006/relationships" r:embed="rId3"/>
        <a:srcRect/>
        <a:stretch>
          <a:fillRect/>
        </a:stretch>
      </xdr:blipFill>
      <xdr:spPr bwMode="auto">
        <a:xfrm>
          <a:off x="666750" y="4064998"/>
          <a:ext cx="5029200" cy="0"/>
        </a:xfrm>
        <a:prstGeom prst="rect">
          <a:avLst/>
        </a:prstGeom>
        <a:noFill/>
      </xdr:spPr>
    </xdr:pic>
    <xdr:clientData/>
  </xdr:twoCellAnchor>
  <xdr:twoCellAnchor editAs="oneCell">
    <xdr:from>
      <xdr:col>8</xdr:col>
      <xdr:colOff>9525</xdr:colOff>
      <xdr:row>29</xdr:row>
      <xdr:rowOff>114300</xdr:rowOff>
    </xdr:from>
    <xdr:to>
      <xdr:col>8</xdr:col>
      <xdr:colOff>809625</xdr:colOff>
      <xdr:row>29</xdr:row>
      <xdr:rowOff>114300</xdr:rowOff>
    </xdr:to>
    <xdr:pic>
      <xdr:nvPicPr>
        <xdr:cNvPr id="10" name="Picture 4"/>
        <xdr:cNvPicPr>
          <a:picLocks noChangeAspect="1" noChangeArrowheads="1"/>
        </xdr:cNvPicPr>
      </xdr:nvPicPr>
      <xdr:blipFill>
        <a:blip xmlns:r="http://schemas.openxmlformats.org/officeDocument/2006/relationships" r:embed="rId4"/>
        <a:srcRect/>
        <a:stretch>
          <a:fillRect/>
        </a:stretch>
      </xdr:blipFill>
      <xdr:spPr bwMode="auto">
        <a:xfrm>
          <a:off x="4953000" y="5848350"/>
          <a:ext cx="1019175"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1" name="Imagem 10" descr="Imagem1.png"/>
        <xdr:cNvPicPr>
          <a:picLocks noChangeAspect="1"/>
        </xdr:cNvPicPr>
      </xdr:nvPicPr>
      <xdr:blipFill>
        <a:blip xmlns:r="http://schemas.openxmlformats.org/officeDocument/2006/relationships" r:embed="rId1" cstate="print"/>
        <a:stretch>
          <a:fillRect/>
        </a:stretch>
      </xdr:blipFill>
      <xdr:spPr>
        <a:xfrm>
          <a:off x="285750" y="228600"/>
          <a:ext cx="628650" cy="0"/>
        </a:xfrm>
        <a:prstGeom prst="rect">
          <a:avLst/>
        </a:prstGeom>
      </xdr:spPr>
    </xdr:pic>
    <xdr:clientData/>
  </xdr:twoCellAnchor>
  <xdr:twoCellAnchor>
    <xdr:from>
      <xdr:col>9</xdr:col>
      <xdr:colOff>438150</xdr:colOff>
      <xdr:row>21</xdr:row>
      <xdr:rowOff>9525</xdr:rowOff>
    </xdr:from>
    <xdr:to>
      <xdr:col>9</xdr:col>
      <xdr:colOff>895350</xdr:colOff>
      <xdr:row>22</xdr:row>
      <xdr:rowOff>171451</xdr:rowOff>
    </xdr:to>
    <xdr:cxnSp macro="">
      <xdr:nvCxnSpPr>
        <xdr:cNvPr id="12" name="Conector de seta reta 11"/>
        <xdr:cNvCxnSpPr/>
      </xdr:nvCxnSpPr>
      <xdr:spPr>
        <a:xfrm flipV="1">
          <a:off x="6210300" y="4219575"/>
          <a:ext cx="457200" cy="352426"/>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1327130"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0</xdr:col>
      <xdr:colOff>219075</xdr:colOff>
      <xdr:row>1</xdr:row>
      <xdr:rowOff>9525</xdr:rowOff>
    </xdr:from>
    <xdr:to>
      <xdr:col>4</xdr:col>
      <xdr:colOff>371475</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2247900" cy="0"/>
        </a:xfrm>
        <a:prstGeom prst="rect">
          <a:avLst/>
        </a:prstGeom>
      </xdr:spPr>
    </xdr:pic>
    <xdr:clientData/>
  </xdr:twoCellAnchor>
  <xdr:twoCellAnchor editAs="oneCell">
    <xdr:from>
      <xdr:col>1</xdr:col>
      <xdr:colOff>419100</xdr:colOff>
      <xdr:row>20</xdr:row>
      <xdr:rowOff>45448</xdr:rowOff>
    </xdr:from>
    <xdr:to>
      <xdr:col>7</xdr:col>
      <xdr:colOff>600075</xdr:colOff>
      <xdr:row>20</xdr:row>
      <xdr:rowOff>45448</xdr:rowOff>
    </xdr:to>
    <xdr:pic>
      <xdr:nvPicPr>
        <xdr:cNvPr id="9" name="Picture 2"/>
        <xdr:cNvPicPr>
          <a:picLocks noChangeAspect="1" noChangeArrowheads="1"/>
        </xdr:cNvPicPr>
      </xdr:nvPicPr>
      <xdr:blipFill>
        <a:blip xmlns:r="http://schemas.openxmlformats.org/officeDocument/2006/relationships" r:embed="rId3"/>
        <a:srcRect/>
        <a:stretch>
          <a:fillRect/>
        </a:stretch>
      </xdr:blipFill>
      <xdr:spPr bwMode="auto">
        <a:xfrm>
          <a:off x="666750" y="4064998"/>
          <a:ext cx="4457700" cy="0"/>
        </a:xfrm>
        <a:prstGeom prst="rect">
          <a:avLst/>
        </a:prstGeom>
        <a:noFill/>
      </xdr:spPr>
    </xdr:pic>
    <xdr:clientData/>
  </xdr:twoCellAnchor>
  <xdr:twoCellAnchor editAs="oneCell">
    <xdr:from>
      <xdr:col>8</xdr:col>
      <xdr:colOff>9525</xdr:colOff>
      <xdr:row>29</xdr:row>
      <xdr:rowOff>114300</xdr:rowOff>
    </xdr:from>
    <xdr:to>
      <xdr:col>8</xdr:col>
      <xdr:colOff>609600</xdr:colOff>
      <xdr:row>29</xdr:row>
      <xdr:rowOff>114300</xdr:rowOff>
    </xdr:to>
    <xdr:pic>
      <xdr:nvPicPr>
        <xdr:cNvPr id="10" name="Picture 4"/>
        <xdr:cNvPicPr>
          <a:picLocks noChangeAspect="1" noChangeArrowheads="1"/>
        </xdr:cNvPicPr>
      </xdr:nvPicPr>
      <xdr:blipFill>
        <a:blip xmlns:r="http://schemas.openxmlformats.org/officeDocument/2006/relationships" r:embed="rId4"/>
        <a:srcRect/>
        <a:stretch>
          <a:fillRect/>
        </a:stretch>
      </xdr:blipFill>
      <xdr:spPr bwMode="auto">
        <a:xfrm>
          <a:off x="4953000" y="5848350"/>
          <a:ext cx="800100"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1" name="Imagem 10" descr="Imagem1.png"/>
        <xdr:cNvPicPr>
          <a:picLocks noChangeAspect="1"/>
        </xdr:cNvPicPr>
      </xdr:nvPicPr>
      <xdr:blipFill>
        <a:blip xmlns:r="http://schemas.openxmlformats.org/officeDocument/2006/relationships" r:embed="rId1" cstate="print"/>
        <a:stretch>
          <a:fillRect/>
        </a:stretch>
      </xdr:blipFill>
      <xdr:spPr>
        <a:xfrm>
          <a:off x="285750" y="228600"/>
          <a:ext cx="628650" cy="0"/>
        </a:xfrm>
        <a:prstGeom prst="rect">
          <a:avLst/>
        </a:prstGeom>
      </xdr:spPr>
    </xdr:pic>
    <xdr:clientData/>
  </xdr:twoCellAnchor>
  <xdr:twoCellAnchor>
    <xdr:from>
      <xdr:col>10</xdr:col>
      <xdr:colOff>504826</xdr:colOff>
      <xdr:row>18</xdr:row>
      <xdr:rowOff>9526</xdr:rowOff>
    </xdr:from>
    <xdr:to>
      <xdr:col>10</xdr:col>
      <xdr:colOff>714376</xdr:colOff>
      <xdr:row>19</xdr:row>
      <xdr:rowOff>180975</xdr:rowOff>
    </xdr:to>
    <xdr:cxnSp macro="">
      <xdr:nvCxnSpPr>
        <xdr:cNvPr id="12" name="Conector de seta reta 11"/>
        <xdr:cNvCxnSpPr/>
      </xdr:nvCxnSpPr>
      <xdr:spPr>
        <a:xfrm rot="5400000" flipH="1" flipV="1">
          <a:off x="7153276" y="3724276"/>
          <a:ext cx="361949" cy="209550"/>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1123951</xdr:colOff>
      <xdr:row>17</xdr:row>
      <xdr:rowOff>161928</xdr:rowOff>
    </xdr:from>
    <xdr:to>
      <xdr:col>11</xdr:col>
      <xdr:colOff>590551</xdr:colOff>
      <xdr:row>20</xdr:row>
      <xdr:rowOff>19051</xdr:rowOff>
    </xdr:to>
    <xdr:cxnSp macro="">
      <xdr:nvCxnSpPr>
        <xdr:cNvPr id="15" name="Conector de seta reta 14"/>
        <xdr:cNvCxnSpPr/>
      </xdr:nvCxnSpPr>
      <xdr:spPr>
        <a:xfrm rot="10800000">
          <a:off x="7848601" y="3609978"/>
          <a:ext cx="676275" cy="428623"/>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504826</xdr:colOff>
      <xdr:row>25</xdr:row>
      <xdr:rowOff>9526</xdr:rowOff>
    </xdr:from>
    <xdr:to>
      <xdr:col>10</xdr:col>
      <xdr:colOff>714376</xdr:colOff>
      <xdr:row>26</xdr:row>
      <xdr:rowOff>180975</xdr:rowOff>
    </xdr:to>
    <xdr:cxnSp macro="">
      <xdr:nvCxnSpPr>
        <xdr:cNvPr id="22" name="Conector de seta reta 21"/>
        <xdr:cNvCxnSpPr/>
      </xdr:nvCxnSpPr>
      <xdr:spPr>
        <a:xfrm rot="5400000" flipH="1" flipV="1">
          <a:off x="7153276" y="3724276"/>
          <a:ext cx="361949" cy="209550"/>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1123950</xdr:colOff>
      <xdr:row>24</xdr:row>
      <xdr:rowOff>171451</xdr:rowOff>
    </xdr:from>
    <xdr:to>
      <xdr:col>12</xdr:col>
      <xdr:colOff>219077</xdr:colOff>
      <xdr:row>27</xdr:row>
      <xdr:rowOff>19052</xdr:rowOff>
    </xdr:to>
    <xdr:cxnSp macro="">
      <xdr:nvCxnSpPr>
        <xdr:cNvPr id="23" name="Conector de seta reta 22"/>
        <xdr:cNvCxnSpPr/>
      </xdr:nvCxnSpPr>
      <xdr:spPr>
        <a:xfrm rot="10800000">
          <a:off x="7848600" y="4953001"/>
          <a:ext cx="914402" cy="419101"/>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601449"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1191875" y="180975"/>
          <a:ext cx="400050" cy="37147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19</xdr:row>
      <xdr:rowOff>114300</xdr:rowOff>
    </xdr:from>
    <xdr:to>
      <xdr:col>7</xdr:col>
      <xdr:colOff>609600</xdr:colOff>
      <xdr:row>19</xdr:row>
      <xdr:rowOff>114300</xdr:rowOff>
    </xdr:to>
    <xdr:pic>
      <xdr:nvPicPr>
        <xdr:cNvPr id="7" name="Picture 9"/>
        <xdr:cNvPicPr>
          <a:picLocks noChangeAspect="1" noChangeArrowheads="1"/>
        </xdr:cNvPicPr>
      </xdr:nvPicPr>
      <xdr:blipFill>
        <a:blip xmlns:r="http://schemas.openxmlformats.org/officeDocument/2006/relationships" r:embed="rId3"/>
        <a:srcRect/>
        <a:stretch>
          <a:fillRect/>
        </a:stretch>
      </xdr:blipFill>
      <xdr:spPr bwMode="auto">
        <a:xfrm>
          <a:off x="2276475" y="3943350"/>
          <a:ext cx="2428875" cy="0"/>
        </a:xfrm>
        <a:prstGeom prst="rect">
          <a:avLst/>
        </a:prstGeom>
        <a:noFill/>
        <a:ln w="1">
          <a:noFill/>
          <a:miter lim="800000"/>
          <a:headEnd/>
          <a:tailEnd type="none" w="med" len="med"/>
        </a:ln>
        <a:effectLst/>
      </xdr:spPr>
    </xdr:pic>
    <xdr:clientData/>
  </xdr:twoCellAnchor>
  <xdr:twoCellAnchor editAs="oneCell">
    <xdr:from>
      <xdr:col>0</xdr:col>
      <xdr:colOff>219075</xdr:colOff>
      <xdr:row>1</xdr:row>
      <xdr:rowOff>9525</xdr:rowOff>
    </xdr:from>
    <xdr:to>
      <xdr:col>4</xdr:col>
      <xdr:colOff>542925</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2419350" cy="0"/>
        </a:xfrm>
        <a:prstGeom prst="rect">
          <a:avLst/>
        </a:prstGeom>
      </xdr:spPr>
    </xdr:pic>
    <xdr:clientData/>
  </xdr:twoCellAnchor>
  <xdr:twoCellAnchor editAs="oneCell">
    <xdr:from>
      <xdr:col>1</xdr:col>
      <xdr:colOff>419100</xdr:colOff>
      <xdr:row>20</xdr:row>
      <xdr:rowOff>45448</xdr:rowOff>
    </xdr:from>
    <xdr:to>
      <xdr:col>7</xdr:col>
      <xdr:colOff>409575</xdr:colOff>
      <xdr:row>20</xdr:row>
      <xdr:rowOff>45448</xdr:rowOff>
    </xdr:to>
    <xdr:pic>
      <xdr:nvPicPr>
        <xdr:cNvPr id="9" name="Picture 2"/>
        <xdr:cNvPicPr>
          <a:picLocks noChangeAspect="1" noChangeArrowheads="1"/>
        </xdr:cNvPicPr>
      </xdr:nvPicPr>
      <xdr:blipFill>
        <a:blip xmlns:r="http://schemas.openxmlformats.org/officeDocument/2006/relationships" r:embed="rId4"/>
        <a:srcRect/>
        <a:stretch>
          <a:fillRect/>
        </a:stretch>
      </xdr:blipFill>
      <xdr:spPr bwMode="auto">
        <a:xfrm>
          <a:off x="666750" y="4064998"/>
          <a:ext cx="4029075" cy="0"/>
        </a:xfrm>
        <a:prstGeom prst="rect">
          <a:avLst/>
        </a:prstGeom>
        <a:noFill/>
      </xdr:spPr>
    </xdr:pic>
    <xdr:clientData/>
  </xdr:twoCellAnchor>
  <xdr:twoCellAnchor editAs="oneCell">
    <xdr:from>
      <xdr:col>8</xdr:col>
      <xdr:colOff>9525</xdr:colOff>
      <xdr:row>29</xdr:row>
      <xdr:rowOff>114300</xdr:rowOff>
    </xdr:from>
    <xdr:to>
      <xdr:col>8</xdr:col>
      <xdr:colOff>609600</xdr:colOff>
      <xdr:row>29</xdr:row>
      <xdr:rowOff>114300</xdr:rowOff>
    </xdr:to>
    <xdr:pic>
      <xdr:nvPicPr>
        <xdr:cNvPr id="10" name="Picture 4"/>
        <xdr:cNvPicPr>
          <a:picLocks noChangeAspect="1" noChangeArrowheads="1"/>
        </xdr:cNvPicPr>
      </xdr:nvPicPr>
      <xdr:blipFill>
        <a:blip xmlns:r="http://schemas.openxmlformats.org/officeDocument/2006/relationships" r:embed="rId5"/>
        <a:srcRect/>
        <a:stretch>
          <a:fillRect/>
        </a:stretch>
      </xdr:blipFill>
      <xdr:spPr bwMode="auto">
        <a:xfrm>
          <a:off x="4953000" y="5848350"/>
          <a:ext cx="600075"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1" name="Imagem 10" descr="Imagem1.png"/>
        <xdr:cNvPicPr>
          <a:picLocks noChangeAspect="1"/>
        </xdr:cNvPicPr>
      </xdr:nvPicPr>
      <xdr:blipFill>
        <a:blip xmlns:r="http://schemas.openxmlformats.org/officeDocument/2006/relationships" r:embed="rId1" cstate="print"/>
        <a:stretch>
          <a:fillRect/>
        </a:stretch>
      </xdr:blipFill>
      <xdr:spPr>
        <a:xfrm>
          <a:off x="285750" y="228600"/>
          <a:ext cx="628650" cy="0"/>
        </a:xfrm>
        <a:prstGeom prst="rect">
          <a:avLst/>
        </a:prstGeom>
      </xdr:spPr>
    </xdr:pic>
    <xdr:clientData/>
  </xdr:twoCellAnchor>
  <xdr:twoCellAnchor>
    <xdr:from>
      <xdr:col>10</xdr:col>
      <xdr:colOff>504826</xdr:colOff>
      <xdr:row>18</xdr:row>
      <xdr:rowOff>9526</xdr:rowOff>
    </xdr:from>
    <xdr:to>
      <xdr:col>10</xdr:col>
      <xdr:colOff>714376</xdr:colOff>
      <xdr:row>19</xdr:row>
      <xdr:rowOff>180975</xdr:rowOff>
    </xdr:to>
    <xdr:cxnSp macro="">
      <xdr:nvCxnSpPr>
        <xdr:cNvPr id="12" name="Conector de seta reta 11"/>
        <xdr:cNvCxnSpPr/>
      </xdr:nvCxnSpPr>
      <xdr:spPr>
        <a:xfrm rot="5400000" flipH="1" flipV="1">
          <a:off x="7153276" y="3724276"/>
          <a:ext cx="361949" cy="209550"/>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1123951</xdr:colOff>
      <xdr:row>17</xdr:row>
      <xdr:rowOff>161928</xdr:rowOff>
    </xdr:from>
    <xdr:to>
      <xdr:col>11</xdr:col>
      <xdr:colOff>590551</xdr:colOff>
      <xdr:row>20</xdr:row>
      <xdr:rowOff>19051</xdr:rowOff>
    </xdr:to>
    <xdr:cxnSp macro="">
      <xdr:nvCxnSpPr>
        <xdr:cNvPr id="13" name="Conector de seta reta 12"/>
        <xdr:cNvCxnSpPr/>
      </xdr:nvCxnSpPr>
      <xdr:spPr>
        <a:xfrm rot="10800000">
          <a:off x="7848601" y="3609978"/>
          <a:ext cx="676275" cy="428623"/>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504826</xdr:colOff>
      <xdr:row>25</xdr:row>
      <xdr:rowOff>9526</xdr:rowOff>
    </xdr:from>
    <xdr:to>
      <xdr:col>10</xdr:col>
      <xdr:colOff>714376</xdr:colOff>
      <xdr:row>26</xdr:row>
      <xdr:rowOff>180975</xdr:rowOff>
    </xdr:to>
    <xdr:cxnSp macro="">
      <xdr:nvCxnSpPr>
        <xdr:cNvPr id="14" name="Conector de seta reta 13"/>
        <xdr:cNvCxnSpPr/>
      </xdr:nvCxnSpPr>
      <xdr:spPr>
        <a:xfrm rot="5400000" flipH="1" flipV="1">
          <a:off x="7153276" y="5057776"/>
          <a:ext cx="361949" cy="209550"/>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1123950</xdr:colOff>
      <xdr:row>24</xdr:row>
      <xdr:rowOff>171451</xdr:rowOff>
    </xdr:from>
    <xdr:to>
      <xdr:col>12</xdr:col>
      <xdr:colOff>219077</xdr:colOff>
      <xdr:row>27</xdr:row>
      <xdr:rowOff>19052</xdr:rowOff>
    </xdr:to>
    <xdr:cxnSp macro="">
      <xdr:nvCxnSpPr>
        <xdr:cNvPr id="15" name="Conector de seta reta 14"/>
        <xdr:cNvCxnSpPr/>
      </xdr:nvCxnSpPr>
      <xdr:spPr>
        <a:xfrm rot="10800000">
          <a:off x="7848600" y="4953001"/>
          <a:ext cx="914402" cy="419101"/>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601449"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1327130"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19</xdr:row>
      <xdr:rowOff>114300</xdr:rowOff>
    </xdr:from>
    <xdr:to>
      <xdr:col>7</xdr:col>
      <xdr:colOff>609600</xdr:colOff>
      <xdr:row>19</xdr:row>
      <xdr:rowOff>114300</xdr:rowOff>
    </xdr:to>
    <xdr:pic>
      <xdr:nvPicPr>
        <xdr:cNvPr id="7" name="Picture 9"/>
        <xdr:cNvPicPr>
          <a:picLocks noChangeAspect="1" noChangeArrowheads="1"/>
        </xdr:cNvPicPr>
      </xdr:nvPicPr>
      <xdr:blipFill>
        <a:blip xmlns:r="http://schemas.openxmlformats.org/officeDocument/2006/relationships" r:embed="rId3"/>
        <a:srcRect/>
        <a:stretch>
          <a:fillRect/>
        </a:stretch>
      </xdr:blipFill>
      <xdr:spPr bwMode="auto">
        <a:xfrm>
          <a:off x="2276475" y="3943350"/>
          <a:ext cx="2428875" cy="0"/>
        </a:xfrm>
        <a:prstGeom prst="rect">
          <a:avLst/>
        </a:prstGeom>
        <a:noFill/>
        <a:ln w="1">
          <a:noFill/>
          <a:miter lim="800000"/>
          <a:headEnd/>
          <a:tailEnd type="none" w="med" len="med"/>
        </a:ln>
        <a:effectLst/>
      </xdr:spPr>
    </xdr:pic>
    <xdr:clientData/>
  </xdr:twoCellAnchor>
  <xdr:twoCellAnchor editAs="oneCell">
    <xdr:from>
      <xdr:col>0</xdr:col>
      <xdr:colOff>219075</xdr:colOff>
      <xdr:row>1</xdr:row>
      <xdr:rowOff>9525</xdr:rowOff>
    </xdr:from>
    <xdr:to>
      <xdr:col>5</xdr:col>
      <xdr:colOff>104775</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2590800" cy="0"/>
        </a:xfrm>
        <a:prstGeom prst="rect">
          <a:avLst/>
        </a:prstGeom>
      </xdr:spPr>
    </xdr:pic>
    <xdr:clientData/>
  </xdr:twoCellAnchor>
  <xdr:twoCellAnchor editAs="oneCell">
    <xdr:from>
      <xdr:col>1</xdr:col>
      <xdr:colOff>419100</xdr:colOff>
      <xdr:row>20</xdr:row>
      <xdr:rowOff>45448</xdr:rowOff>
    </xdr:from>
    <xdr:to>
      <xdr:col>7</xdr:col>
      <xdr:colOff>219075</xdr:colOff>
      <xdr:row>20</xdr:row>
      <xdr:rowOff>45448</xdr:rowOff>
    </xdr:to>
    <xdr:pic>
      <xdr:nvPicPr>
        <xdr:cNvPr id="9" name="Picture 2"/>
        <xdr:cNvPicPr>
          <a:picLocks noChangeAspect="1" noChangeArrowheads="1"/>
        </xdr:cNvPicPr>
      </xdr:nvPicPr>
      <xdr:blipFill>
        <a:blip xmlns:r="http://schemas.openxmlformats.org/officeDocument/2006/relationships" r:embed="rId4"/>
        <a:srcRect/>
        <a:stretch>
          <a:fillRect/>
        </a:stretch>
      </xdr:blipFill>
      <xdr:spPr bwMode="auto">
        <a:xfrm>
          <a:off x="666750" y="4064998"/>
          <a:ext cx="3838575" cy="0"/>
        </a:xfrm>
        <a:prstGeom prst="rect">
          <a:avLst/>
        </a:prstGeom>
        <a:noFill/>
      </xdr:spPr>
    </xdr:pic>
    <xdr:clientData/>
  </xdr:twoCellAnchor>
  <xdr:twoCellAnchor editAs="oneCell">
    <xdr:from>
      <xdr:col>8</xdr:col>
      <xdr:colOff>9525</xdr:colOff>
      <xdr:row>31</xdr:row>
      <xdr:rowOff>114300</xdr:rowOff>
    </xdr:from>
    <xdr:to>
      <xdr:col>8</xdr:col>
      <xdr:colOff>609600</xdr:colOff>
      <xdr:row>31</xdr:row>
      <xdr:rowOff>114300</xdr:rowOff>
    </xdr:to>
    <xdr:pic>
      <xdr:nvPicPr>
        <xdr:cNvPr id="10" name="Picture 4"/>
        <xdr:cNvPicPr>
          <a:picLocks noChangeAspect="1" noChangeArrowheads="1"/>
        </xdr:cNvPicPr>
      </xdr:nvPicPr>
      <xdr:blipFill>
        <a:blip xmlns:r="http://schemas.openxmlformats.org/officeDocument/2006/relationships" r:embed="rId5"/>
        <a:srcRect/>
        <a:stretch>
          <a:fillRect/>
        </a:stretch>
      </xdr:blipFill>
      <xdr:spPr bwMode="auto">
        <a:xfrm>
          <a:off x="4953000" y="5848350"/>
          <a:ext cx="600075"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1" name="Imagem 10" descr="Imagem1.png"/>
        <xdr:cNvPicPr>
          <a:picLocks noChangeAspect="1"/>
        </xdr:cNvPicPr>
      </xdr:nvPicPr>
      <xdr:blipFill>
        <a:blip xmlns:r="http://schemas.openxmlformats.org/officeDocument/2006/relationships" r:embed="rId1" cstate="print"/>
        <a:stretch>
          <a:fillRect/>
        </a:stretch>
      </xdr:blipFill>
      <xdr:spPr>
        <a:xfrm>
          <a:off x="285750" y="228600"/>
          <a:ext cx="628650" cy="0"/>
        </a:xfrm>
        <a:prstGeom prst="rect">
          <a:avLst/>
        </a:prstGeom>
      </xdr:spPr>
    </xdr:pic>
    <xdr:clientData/>
  </xdr:twoCellAnchor>
  <xdr:twoCellAnchor editAs="oneCell">
    <xdr:from>
      <xdr:col>6</xdr:col>
      <xdr:colOff>200025</xdr:colOff>
      <xdr:row>13</xdr:row>
      <xdr:rowOff>85480</xdr:rowOff>
    </xdr:from>
    <xdr:to>
      <xdr:col>16</xdr:col>
      <xdr:colOff>466725</xdr:colOff>
      <xdr:row>18</xdr:row>
      <xdr:rowOff>142874</xdr:rowOff>
    </xdr:to>
    <xdr:pic>
      <xdr:nvPicPr>
        <xdr:cNvPr id="3073" name="Picture 1"/>
        <xdr:cNvPicPr>
          <a:picLocks noChangeAspect="1" noChangeArrowheads="1"/>
        </xdr:cNvPicPr>
      </xdr:nvPicPr>
      <xdr:blipFill>
        <a:blip xmlns:r="http://schemas.openxmlformats.org/officeDocument/2006/relationships" r:embed="rId6" cstate="print"/>
        <a:srcRect/>
        <a:stretch>
          <a:fillRect/>
        </a:stretch>
      </xdr:blipFill>
      <xdr:spPr bwMode="auto">
        <a:xfrm>
          <a:off x="3686175" y="2666755"/>
          <a:ext cx="7762875" cy="1114669"/>
        </a:xfrm>
        <a:prstGeom prst="rect">
          <a:avLst/>
        </a:prstGeom>
        <a:noFill/>
        <a:ln w="1">
          <a:noFill/>
          <a:miter lim="800000"/>
          <a:headEnd/>
          <a:tailEnd type="none" w="med" len="med"/>
        </a:ln>
        <a:effectLst/>
      </xdr:spPr>
    </xdr:pic>
    <xdr:clientData/>
  </xdr:twoCellAnchor>
  <xdr:twoCellAnchor>
    <xdr:from>
      <xdr:col>10</xdr:col>
      <xdr:colOff>942974</xdr:colOff>
      <xdr:row>14</xdr:row>
      <xdr:rowOff>285751</xdr:rowOff>
    </xdr:from>
    <xdr:to>
      <xdr:col>10</xdr:col>
      <xdr:colOff>1123949</xdr:colOff>
      <xdr:row>20</xdr:row>
      <xdr:rowOff>85726</xdr:rowOff>
    </xdr:to>
    <xdr:cxnSp macro="">
      <xdr:nvCxnSpPr>
        <xdr:cNvPr id="18" name="Conector de seta reta 17"/>
        <xdr:cNvCxnSpPr/>
      </xdr:nvCxnSpPr>
      <xdr:spPr>
        <a:xfrm rot="5400000" flipH="1" flipV="1">
          <a:off x="7234237" y="3490913"/>
          <a:ext cx="1047750" cy="180975"/>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962025</xdr:colOff>
      <xdr:row>17</xdr:row>
      <xdr:rowOff>180976</xdr:rowOff>
    </xdr:from>
    <xdr:to>
      <xdr:col>13</xdr:col>
      <xdr:colOff>514353</xdr:colOff>
      <xdr:row>20</xdr:row>
      <xdr:rowOff>76200</xdr:rowOff>
    </xdr:to>
    <xdr:cxnSp macro="">
      <xdr:nvCxnSpPr>
        <xdr:cNvPr id="20" name="Conector de seta reta 19"/>
        <xdr:cNvCxnSpPr/>
      </xdr:nvCxnSpPr>
      <xdr:spPr>
        <a:xfrm flipV="1">
          <a:off x="7686675" y="3629026"/>
          <a:ext cx="1981203" cy="466724"/>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819150</xdr:colOff>
      <xdr:row>31</xdr:row>
      <xdr:rowOff>0</xdr:rowOff>
    </xdr:from>
    <xdr:to>
      <xdr:col>10</xdr:col>
      <xdr:colOff>9525</xdr:colOff>
      <xdr:row>31</xdr:row>
      <xdr:rowOff>9525</xdr:rowOff>
    </xdr:to>
    <xdr:cxnSp macro="">
      <xdr:nvCxnSpPr>
        <xdr:cNvPr id="24" name="Conector reto 23"/>
        <xdr:cNvCxnSpPr/>
      </xdr:nvCxnSpPr>
      <xdr:spPr>
        <a:xfrm>
          <a:off x="5762625" y="5734050"/>
          <a:ext cx="971550" cy="9525"/>
        </a:xfrm>
        <a:prstGeom prst="line">
          <a:avLst/>
        </a:prstGeom>
        <a:ln w="63500">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827881</xdr:colOff>
      <xdr:row>31</xdr:row>
      <xdr:rowOff>19844</xdr:rowOff>
    </xdr:from>
    <xdr:to>
      <xdr:col>9</xdr:col>
      <xdr:colOff>794</xdr:colOff>
      <xdr:row>32</xdr:row>
      <xdr:rowOff>794</xdr:rowOff>
    </xdr:to>
    <xdr:cxnSp macro="">
      <xdr:nvCxnSpPr>
        <xdr:cNvPr id="25" name="Conector reto 24"/>
        <xdr:cNvCxnSpPr/>
      </xdr:nvCxnSpPr>
      <xdr:spPr>
        <a:xfrm rot="5400000">
          <a:off x="5686425" y="5838825"/>
          <a:ext cx="171450" cy="1588"/>
        </a:xfrm>
        <a:prstGeom prst="line">
          <a:avLst/>
        </a:prstGeom>
        <a:ln w="63500">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247650</xdr:colOff>
      <xdr:row>40</xdr:row>
      <xdr:rowOff>0</xdr:rowOff>
    </xdr:from>
    <xdr:to>
      <xdr:col>9</xdr:col>
      <xdr:colOff>180975</xdr:colOff>
      <xdr:row>55</xdr:row>
      <xdr:rowOff>123825</xdr:rowOff>
    </xdr:to>
    <xdr:pic>
      <xdr:nvPicPr>
        <xdr:cNvPr id="4106" name="Picture 10"/>
        <xdr:cNvPicPr>
          <a:picLocks noChangeAspect="1" noChangeArrowheads="1"/>
        </xdr:cNvPicPr>
      </xdr:nvPicPr>
      <xdr:blipFill>
        <a:blip xmlns:r="http://schemas.openxmlformats.org/officeDocument/2006/relationships" r:embed="rId1" cstate="print"/>
        <a:srcRect/>
        <a:stretch>
          <a:fillRect/>
        </a:stretch>
      </xdr:blipFill>
      <xdr:spPr bwMode="auto">
        <a:xfrm>
          <a:off x="3505200" y="7934325"/>
          <a:ext cx="3771900" cy="3028950"/>
        </a:xfrm>
        <a:prstGeom prst="rect">
          <a:avLst/>
        </a:prstGeom>
        <a:noFill/>
        <a:ln w="1">
          <a:noFill/>
          <a:miter lim="800000"/>
          <a:headEnd/>
          <a:tailEnd type="none" w="med" len="med"/>
        </a:ln>
        <a:effectLst/>
      </xdr:spPr>
    </xdr:pic>
    <xdr:clientData/>
  </xdr:twoCellAnchor>
  <xdr:twoCellAnchor>
    <xdr:from>
      <xdr:col>0</xdr:col>
      <xdr:colOff>123826</xdr:colOff>
      <xdr:row>0</xdr:row>
      <xdr:rowOff>95250</xdr:rowOff>
    </xdr:from>
    <xdr:to>
      <xdr:col>15</xdr:col>
      <xdr:colOff>0</xdr:colOff>
      <xdr:row>3</xdr:row>
      <xdr:rowOff>85725</xdr:rowOff>
    </xdr:to>
    <xdr:sp macro="" textlink="">
      <xdr:nvSpPr>
        <xdr:cNvPr id="2" name="Retângulo 1"/>
        <xdr:cNvSpPr/>
      </xdr:nvSpPr>
      <xdr:spPr>
        <a:xfrm>
          <a:off x="123826" y="95250"/>
          <a:ext cx="11572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1</xdr:col>
      <xdr:colOff>657225</xdr:colOff>
      <xdr:row>1</xdr:row>
      <xdr:rowOff>28575</xdr:rowOff>
    </xdr:to>
    <xdr:pic>
      <xdr:nvPicPr>
        <xdr:cNvPr id="3" name="Imagem 2" descr="Imagem1.png"/>
        <xdr:cNvPicPr>
          <a:picLocks noChangeAspect="1"/>
        </xdr:cNvPicPr>
      </xdr:nvPicPr>
      <xdr:blipFill>
        <a:blip xmlns:r="http://schemas.openxmlformats.org/officeDocument/2006/relationships" r:embed="rId2" cstate="print"/>
        <a:stretch>
          <a:fillRect/>
        </a:stretch>
      </xdr:blipFill>
      <xdr:spPr>
        <a:xfrm>
          <a:off x="276225" y="219075"/>
          <a:ext cx="628650" cy="0"/>
        </a:xfrm>
        <a:prstGeom prst="rect">
          <a:avLst/>
        </a:prstGeom>
      </xdr:spPr>
    </xdr:pic>
    <xdr:clientData/>
  </xdr:twoCellAnchor>
  <xdr:twoCellAnchor>
    <xdr:from>
      <xdr:col>14</xdr:col>
      <xdr:colOff>104775</xdr:colOff>
      <xdr:row>0</xdr:row>
      <xdr:rowOff>180975</xdr:rowOff>
    </xdr:from>
    <xdr:to>
      <xdr:col>14</xdr:col>
      <xdr:colOff>504825</xdr:colOff>
      <xdr:row>2</xdr:row>
      <xdr:rowOff>171450</xdr:rowOff>
    </xdr:to>
    <xdr:grpSp>
      <xdr:nvGrpSpPr>
        <xdr:cNvPr id="4" name="Grupo 3">
          <a:hlinkClick xmlns:r="http://schemas.openxmlformats.org/officeDocument/2006/relationships" r:id="rId3"/>
        </xdr:cNvPr>
        <xdr:cNvGrpSpPr/>
      </xdr:nvGrpSpPr>
      <xdr:grpSpPr>
        <a:xfrm>
          <a:off x="11412855"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16</xdr:row>
      <xdr:rowOff>0</xdr:rowOff>
    </xdr:from>
    <xdr:to>
      <xdr:col>7</xdr:col>
      <xdr:colOff>276225</xdr:colOff>
      <xdr:row>16</xdr:row>
      <xdr:rowOff>0</xdr:rowOff>
    </xdr:to>
    <xdr:pic>
      <xdr:nvPicPr>
        <xdr:cNvPr id="7" name="Picture 9"/>
        <xdr:cNvPicPr>
          <a:picLocks noChangeAspect="1" noChangeArrowheads="1"/>
        </xdr:cNvPicPr>
      </xdr:nvPicPr>
      <xdr:blipFill>
        <a:blip xmlns:r="http://schemas.openxmlformats.org/officeDocument/2006/relationships" r:embed="rId4"/>
        <a:srcRect/>
        <a:stretch>
          <a:fillRect/>
        </a:stretch>
      </xdr:blipFill>
      <xdr:spPr bwMode="auto">
        <a:xfrm>
          <a:off x="2276475" y="3943350"/>
          <a:ext cx="2428875" cy="0"/>
        </a:xfrm>
        <a:prstGeom prst="rect">
          <a:avLst/>
        </a:prstGeom>
        <a:noFill/>
        <a:ln w="1">
          <a:noFill/>
          <a:miter lim="800000"/>
          <a:headEnd/>
          <a:tailEnd type="none" w="med" len="med"/>
        </a:ln>
        <a:effectLst/>
      </xdr:spPr>
    </xdr:pic>
    <xdr:clientData/>
  </xdr:twoCellAnchor>
  <xdr:twoCellAnchor editAs="oneCell">
    <xdr:from>
      <xdr:col>0</xdr:col>
      <xdr:colOff>219075</xdr:colOff>
      <xdr:row>1</xdr:row>
      <xdr:rowOff>9525</xdr:rowOff>
    </xdr:from>
    <xdr:to>
      <xdr:col>3</xdr:col>
      <xdr:colOff>695325</xdr:colOff>
      <xdr:row>1</xdr:row>
      <xdr:rowOff>9525</xdr:rowOff>
    </xdr:to>
    <xdr:pic>
      <xdr:nvPicPr>
        <xdr:cNvPr id="8" name="Imagem 7" descr="Imagem1.png"/>
        <xdr:cNvPicPr>
          <a:picLocks noChangeAspect="1"/>
        </xdr:cNvPicPr>
      </xdr:nvPicPr>
      <xdr:blipFill>
        <a:blip xmlns:r="http://schemas.openxmlformats.org/officeDocument/2006/relationships" r:embed="rId2" cstate="print"/>
        <a:stretch>
          <a:fillRect/>
        </a:stretch>
      </xdr:blipFill>
      <xdr:spPr>
        <a:xfrm>
          <a:off x="219075" y="200025"/>
          <a:ext cx="2762250" cy="0"/>
        </a:xfrm>
        <a:prstGeom prst="rect">
          <a:avLst/>
        </a:prstGeom>
      </xdr:spPr>
    </xdr:pic>
    <xdr:clientData/>
  </xdr:twoCellAnchor>
  <xdr:twoCellAnchor editAs="oneCell">
    <xdr:from>
      <xdr:col>1</xdr:col>
      <xdr:colOff>419100</xdr:colOff>
      <xdr:row>16</xdr:row>
      <xdr:rowOff>0</xdr:rowOff>
    </xdr:from>
    <xdr:to>
      <xdr:col>5</xdr:col>
      <xdr:colOff>257175</xdr:colOff>
      <xdr:row>16</xdr:row>
      <xdr:rowOff>0</xdr:rowOff>
    </xdr:to>
    <xdr:pic>
      <xdr:nvPicPr>
        <xdr:cNvPr id="9" name="Picture 2"/>
        <xdr:cNvPicPr>
          <a:picLocks noChangeAspect="1" noChangeArrowheads="1"/>
        </xdr:cNvPicPr>
      </xdr:nvPicPr>
      <xdr:blipFill>
        <a:blip xmlns:r="http://schemas.openxmlformats.org/officeDocument/2006/relationships" r:embed="rId5"/>
        <a:srcRect/>
        <a:stretch>
          <a:fillRect/>
        </a:stretch>
      </xdr:blipFill>
      <xdr:spPr bwMode="auto">
        <a:xfrm>
          <a:off x="666750" y="4064998"/>
          <a:ext cx="3648075" cy="0"/>
        </a:xfrm>
        <a:prstGeom prst="rect">
          <a:avLst/>
        </a:prstGeom>
        <a:noFill/>
      </xdr:spPr>
    </xdr:pic>
    <xdr:clientData/>
  </xdr:twoCellAnchor>
  <xdr:twoCellAnchor editAs="oneCell">
    <xdr:from>
      <xdr:col>8</xdr:col>
      <xdr:colOff>9525</xdr:colOff>
      <xdr:row>16</xdr:row>
      <xdr:rowOff>0</xdr:rowOff>
    </xdr:from>
    <xdr:to>
      <xdr:col>8</xdr:col>
      <xdr:colOff>609600</xdr:colOff>
      <xdr:row>16</xdr:row>
      <xdr:rowOff>0</xdr:rowOff>
    </xdr:to>
    <xdr:pic>
      <xdr:nvPicPr>
        <xdr:cNvPr id="10" name="Picture 4"/>
        <xdr:cNvPicPr>
          <a:picLocks noChangeAspect="1" noChangeArrowheads="1"/>
        </xdr:cNvPicPr>
      </xdr:nvPicPr>
      <xdr:blipFill>
        <a:blip xmlns:r="http://schemas.openxmlformats.org/officeDocument/2006/relationships" r:embed="rId6"/>
        <a:srcRect/>
        <a:stretch>
          <a:fillRect/>
        </a:stretch>
      </xdr:blipFill>
      <xdr:spPr bwMode="auto">
        <a:xfrm>
          <a:off x="4953000" y="6353175"/>
          <a:ext cx="600075" cy="0"/>
        </a:xfrm>
        <a:prstGeom prst="rect">
          <a:avLst/>
        </a:prstGeom>
        <a:noFill/>
      </xdr:spPr>
    </xdr:pic>
    <xdr:clientData/>
  </xdr:twoCellAnchor>
  <xdr:twoCellAnchor editAs="oneCell">
    <xdr:from>
      <xdr:col>1</xdr:col>
      <xdr:colOff>38100</xdr:colOff>
      <xdr:row>1</xdr:row>
      <xdr:rowOff>38100</xdr:rowOff>
    </xdr:from>
    <xdr:to>
      <xdr:col>1</xdr:col>
      <xdr:colOff>666750</xdr:colOff>
      <xdr:row>1</xdr:row>
      <xdr:rowOff>38100</xdr:rowOff>
    </xdr:to>
    <xdr:pic>
      <xdr:nvPicPr>
        <xdr:cNvPr id="11" name="Imagem 10" descr="Imagem1.png"/>
        <xdr:cNvPicPr>
          <a:picLocks noChangeAspect="1"/>
        </xdr:cNvPicPr>
      </xdr:nvPicPr>
      <xdr:blipFill>
        <a:blip xmlns:r="http://schemas.openxmlformats.org/officeDocument/2006/relationships" r:embed="rId2" cstate="print"/>
        <a:stretch>
          <a:fillRect/>
        </a:stretch>
      </xdr:blipFill>
      <xdr:spPr>
        <a:xfrm>
          <a:off x="285750" y="228600"/>
          <a:ext cx="628650" cy="0"/>
        </a:xfrm>
        <a:prstGeom prst="rect">
          <a:avLst/>
        </a:prstGeom>
      </xdr:spPr>
    </xdr:pic>
    <xdr:clientData/>
  </xdr:twoCellAnchor>
  <xdr:twoCellAnchor editAs="oneCell">
    <xdr:from>
      <xdr:col>6</xdr:col>
      <xdr:colOff>200025</xdr:colOff>
      <xdr:row>13</xdr:row>
      <xdr:rowOff>85480</xdr:rowOff>
    </xdr:from>
    <xdr:to>
      <xdr:col>14</xdr:col>
      <xdr:colOff>285750</xdr:colOff>
      <xdr:row>13</xdr:row>
      <xdr:rowOff>85480</xdr:rowOff>
    </xdr:to>
    <xdr:pic>
      <xdr:nvPicPr>
        <xdr:cNvPr id="12" name="Picture 1"/>
        <xdr:cNvPicPr>
          <a:picLocks noChangeAspect="1" noChangeArrowheads="1"/>
        </xdr:cNvPicPr>
      </xdr:nvPicPr>
      <xdr:blipFill>
        <a:blip xmlns:r="http://schemas.openxmlformats.org/officeDocument/2006/relationships" r:embed="rId7"/>
        <a:srcRect/>
        <a:stretch>
          <a:fillRect/>
        </a:stretch>
      </xdr:blipFill>
      <xdr:spPr bwMode="auto">
        <a:xfrm>
          <a:off x="3686175" y="2666755"/>
          <a:ext cx="7762875" cy="1114669"/>
        </a:xfrm>
        <a:prstGeom prst="rect">
          <a:avLst/>
        </a:prstGeom>
        <a:noFill/>
        <a:ln w="1">
          <a:noFill/>
          <a:miter lim="800000"/>
          <a:headEnd/>
          <a:tailEnd type="none" w="med" len="med"/>
        </a:ln>
        <a:effectLst/>
      </xdr:spPr>
    </xdr:pic>
    <xdr:clientData/>
  </xdr:twoCellAnchor>
  <xdr:twoCellAnchor>
    <xdr:from>
      <xdr:col>3</xdr:col>
      <xdr:colOff>257176</xdr:colOff>
      <xdr:row>23</xdr:row>
      <xdr:rowOff>114301</xdr:rowOff>
    </xdr:from>
    <xdr:to>
      <xdr:col>4</xdr:col>
      <xdr:colOff>342901</xdr:colOff>
      <xdr:row>24</xdr:row>
      <xdr:rowOff>28576</xdr:rowOff>
    </xdr:to>
    <xdr:cxnSp macro="">
      <xdr:nvCxnSpPr>
        <xdr:cNvPr id="18" name="Conector de seta reta 17"/>
        <xdr:cNvCxnSpPr/>
      </xdr:nvCxnSpPr>
      <xdr:spPr>
        <a:xfrm rot="10800000">
          <a:off x="2714626" y="4705351"/>
          <a:ext cx="885825" cy="104775"/>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209551</xdr:colOff>
      <xdr:row>21</xdr:row>
      <xdr:rowOff>142876</xdr:rowOff>
    </xdr:from>
    <xdr:to>
      <xdr:col>4</xdr:col>
      <xdr:colOff>295276</xdr:colOff>
      <xdr:row>22</xdr:row>
      <xdr:rowOff>57151</xdr:rowOff>
    </xdr:to>
    <xdr:cxnSp macro="">
      <xdr:nvCxnSpPr>
        <xdr:cNvPr id="21" name="Conector de seta reta 20"/>
        <xdr:cNvCxnSpPr/>
      </xdr:nvCxnSpPr>
      <xdr:spPr>
        <a:xfrm rot="10800000">
          <a:off x="2667001" y="4352926"/>
          <a:ext cx="885825" cy="104775"/>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38101</xdr:colOff>
      <xdr:row>19</xdr:row>
      <xdr:rowOff>123826</xdr:rowOff>
    </xdr:from>
    <xdr:to>
      <xdr:col>8</xdr:col>
      <xdr:colOff>76201</xdr:colOff>
      <xdr:row>20</xdr:row>
      <xdr:rowOff>38101</xdr:rowOff>
    </xdr:to>
    <xdr:cxnSp macro="">
      <xdr:nvCxnSpPr>
        <xdr:cNvPr id="22" name="Conector de seta reta 21"/>
        <xdr:cNvCxnSpPr/>
      </xdr:nvCxnSpPr>
      <xdr:spPr>
        <a:xfrm rot="10800000">
          <a:off x="5457826" y="3952876"/>
          <a:ext cx="885825" cy="104775"/>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4</xdr:col>
      <xdr:colOff>142875</xdr:colOff>
      <xdr:row>31</xdr:row>
      <xdr:rowOff>17397</xdr:rowOff>
    </xdr:from>
    <xdr:to>
      <xdr:col>13</xdr:col>
      <xdr:colOff>476250</xdr:colOff>
      <xdr:row>36</xdr:row>
      <xdr:rowOff>142874</xdr:rowOff>
    </xdr:to>
    <xdr:pic>
      <xdr:nvPicPr>
        <xdr:cNvPr id="4101" name="Picture 5"/>
        <xdr:cNvPicPr>
          <a:picLocks noChangeAspect="1" noChangeArrowheads="1"/>
        </xdr:cNvPicPr>
      </xdr:nvPicPr>
      <xdr:blipFill>
        <a:blip xmlns:r="http://schemas.openxmlformats.org/officeDocument/2006/relationships" r:embed="rId8" cstate="print"/>
        <a:srcRect/>
        <a:stretch>
          <a:fillRect/>
        </a:stretch>
      </xdr:blipFill>
      <xdr:spPr bwMode="auto">
        <a:xfrm>
          <a:off x="3400425" y="6237222"/>
          <a:ext cx="7553325" cy="1077977"/>
        </a:xfrm>
        <a:prstGeom prst="rect">
          <a:avLst/>
        </a:prstGeom>
        <a:noFill/>
        <a:ln w="1">
          <a:noFill/>
          <a:miter lim="800000"/>
          <a:headEnd/>
          <a:tailEnd type="none" w="med" len="med"/>
        </a:ln>
        <a:effectLst/>
      </xdr:spPr>
    </xdr:pic>
    <xdr:clientData/>
  </xdr:twoCellAnchor>
  <xdr:twoCellAnchor>
    <xdr:from>
      <xdr:col>3</xdr:col>
      <xdr:colOff>323850</xdr:colOff>
      <xdr:row>31</xdr:row>
      <xdr:rowOff>123825</xdr:rowOff>
    </xdr:from>
    <xdr:to>
      <xdr:col>7</xdr:col>
      <xdr:colOff>704850</xdr:colOff>
      <xdr:row>32</xdr:row>
      <xdr:rowOff>152400</xdr:rowOff>
    </xdr:to>
    <xdr:cxnSp macro="">
      <xdr:nvCxnSpPr>
        <xdr:cNvPr id="23" name="Conector de seta reta 22"/>
        <xdr:cNvCxnSpPr/>
      </xdr:nvCxnSpPr>
      <xdr:spPr>
        <a:xfrm>
          <a:off x="2781300" y="6343650"/>
          <a:ext cx="3343275" cy="219075"/>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9</xdr:col>
      <xdr:colOff>409575</xdr:colOff>
      <xdr:row>31</xdr:row>
      <xdr:rowOff>19050</xdr:rowOff>
    </xdr:from>
    <xdr:to>
      <xdr:col>10</xdr:col>
      <xdr:colOff>1057275</xdr:colOff>
      <xdr:row>33</xdr:row>
      <xdr:rowOff>142875</xdr:rowOff>
    </xdr:to>
    <xdr:cxnSp macro="">
      <xdr:nvCxnSpPr>
        <xdr:cNvPr id="29" name="Conector de seta reta 28"/>
        <xdr:cNvCxnSpPr/>
      </xdr:nvCxnSpPr>
      <xdr:spPr>
        <a:xfrm>
          <a:off x="7505700" y="6238875"/>
          <a:ext cx="1600200" cy="504825"/>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600079</xdr:colOff>
      <xdr:row>40</xdr:row>
      <xdr:rowOff>19049</xdr:rowOff>
    </xdr:from>
    <xdr:to>
      <xdr:col>4</xdr:col>
      <xdr:colOff>466727</xdr:colOff>
      <xdr:row>45</xdr:row>
      <xdr:rowOff>19048</xdr:rowOff>
    </xdr:to>
    <xdr:cxnSp macro="">
      <xdr:nvCxnSpPr>
        <xdr:cNvPr id="36" name="Conector de seta reta 35"/>
        <xdr:cNvCxnSpPr/>
      </xdr:nvCxnSpPr>
      <xdr:spPr>
        <a:xfrm rot="16200000" flipH="1">
          <a:off x="2914653" y="8096250"/>
          <a:ext cx="952499" cy="666748"/>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133350</xdr:colOff>
      <xdr:row>42</xdr:row>
      <xdr:rowOff>142875</xdr:rowOff>
    </xdr:from>
    <xdr:to>
      <xdr:col>4</xdr:col>
      <xdr:colOff>495300</xdr:colOff>
      <xdr:row>49</xdr:row>
      <xdr:rowOff>142875</xdr:rowOff>
    </xdr:to>
    <xdr:cxnSp macro="">
      <xdr:nvCxnSpPr>
        <xdr:cNvPr id="38" name="Conector de seta reta 37"/>
        <xdr:cNvCxnSpPr/>
      </xdr:nvCxnSpPr>
      <xdr:spPr>
        <a:xfrm rot="16200000" flipH="1">
          <a:off x="2505075" y="8543925"/>
          <a:ext cx="1333500" cy="116205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247650</xdr:colOff>
      <xdr:row>24</xdr:row>
      <xdr:rowOff>0</xdr:rowOff>
    </xdr:from>
    <xdr:to>
      <xdr:col>8</xdr:col>
      <xdr:colOff>219075</xdr:colOff>
      <xdr:row>24</xdr:row>
      <xdr:rowOff>0</xdr:rowOff>
    </xdr:to>
    <xdr:pic>
      <xdr:nvPicPr>
        <xdr:cNvPr id="2" name="Picture 10"/>
        <xdr:cNvPicPr>
          <a:picLocks noChangeAspect="1" noChangeArrowheads="1"/>
        </xdr:cNvPicPr>
      </xdr:nvPicPr>
      <xdr:blipFill>
        <a:blip xmlns:r="http://schemas.openxmlformats.org/officeDocument/2006/relationships" r:embed="rId1"/>
        <a:srcRect/>
        <a:stretch>
          <a:fillRect/>
        </a:stretch>
      </xdr:blipFill>
      <xdr:spPr bwMode="auto">
        <a:xfrm>
          <a:off x="3505200" y="7934325"/>
          <a:ext cx="3771900" cy="3028950"/>
        </a:xfrm>
        <a:prstGeom prst="rect">
          <a:avLst/>
        </a:prstGeom>
        <a:noFill/>
        <a:ln w="1">
          <a:noFill/>
          <a:miter lim="800000"/>
          <a:headEnd/>
          <a:tailEnd type="none" w="med" len="med"/>
        </a:ln>
        <a:effectLst/>
      </xdr:spPr>
    </xdr:pic>
    <xdr:clientData/>
  </xdr:twoCellAnchor>
  <xdr:twoCellAnchor>
    <xdr:from>
      <xdr:col>0</xdr:col>
      <xdr:colOff>123827</xdr:colOff>
      <xdr:row>0</xdr:row>
      <xdr:rowOff>95250</xdr:rowOff>
    </xdr:from>
    <xdr:to>
      <xdr:col>14</xdr:col>
      <xdr:colOff>142876</xdr:colOff>
      <xdr:row>3</xdr:row>
      <xdr:rowOff>85725</xdr:rowOff>
    </xdr:to>
    <xdr:sp macro="" textlink="">
      <xdr:nvSpPr>
        <xdr:cNvPr id="3" name="Retângulo 2"/>
        <xdr:cNvSpPr/>
      </xdr:nvSpPr>
      <xdr:spPr>
        <a:xfrm>
          <a:off x="123827" y="95250"/>
          <a:ext cx="110394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1</xdr:col>
      <xdr:colOff>609600</xdr:colOff>
      <xdr:row>1</xdr:row>
      <xdr:rowOff>28575</xdr:rowOff>
    </xdr:to>
    <xdr:pic>
      <xdr:nvPicPr>
        <xdr:cNvPr id="4" name="Imagem 3" descr="Imagem1.png"/>
        <xdr:cNvPicPr>
          <a:picLocks noChangeAspect="1"/>
        </xdr:cNvPicPr>
      </xdr:nvPicPr>
      <xdr:blipFill>
        <a:blip xmlns:r="http://schemas.openxmlformats.org/officeDocument/2006/relationships" r:embed="rId2" cstate="print"/>
        <a:stretch>
          <a:fillRect/>
        </a:stretch>
      </xdr:blipFill>
      <xdr:spPr>
        <a:xfrm>
          <a:off x="276225" y="219075"/>
          <a:ext cx="628650" cy="0"/>
        </a:xfrm>
        <a:prstGeom prst="rect">
          <a:avLst/>
        </a:prstGeom>
      </xdr:spPr>
    </xdr:pic>
    <xdr:clientData/>
  </xdr:twoCellAnchor>
  <xdr:twoCellAnchor>
    <xdr:from>
      <xdr:col>13</xdr:col>
      <xdr:colOff>266700</xdr:colOff>
      <xdr:row>0</xdr:row>
      <xdr:rowOff>180975</xdr:rowOff>
    </xdr:from>
    <xdr:to>
      <xdr:col>14</xdr:col>
      <xdr:colOff>57150</xdr:colOff>
      <xdr:row>2</xdr:row>
      <xdr:rowOff>171450</xdr:rowOff>
    </xdr:to>
    <xdr:grpSp>
      <xdr:nvGrpSpPr>
        <xdr:cNvPr id="5" name="Grupo 4">
          <a:hlinkClick xmlns:r="http://schemas.openxmlformats.org/officeDocument/2006/relationships" r:id="rId3"/>
        </xdr:cNvPr>
        <xdr:cNvGrpSpPr/>
      </xdr:nvGrpSpPr>
      <xdr:grpSpPr>
        <a:xfrm>
          <a:off x="10896600" y="180975"/>
          <a:ext cx="400050" cy="356235"/>
          <a:chOff x="9334500" y="1162050"/>
          <a:chExt cx="400050" cy="371475"/>
        </a:xfrm>
      </xdr:grpSpPr>
      <xdr:sp macro="" textlink="">
        <xdr:nvSpPr>
          <xdr:cNvPr id="6" name="Elipse 5"/>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7" name="Seta circular 6"/>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16</xdr:row>
      <xdr:rowOff>0</xdr:rowOff>
    </xdr:from>
    <xdr:to>
      <xdr:col>6</xdr:col>
      <xdr:colOff>552450</xdr:colOff>
      <xdr:row>16</xdr:row>
      <xdr:rowOff>0</xdr:rowOff>
    </xdr:to>
    <xdr:pic>
      <xdr:nvPicPr>
        <xdr:cNvPr id="8" name="Picture 9"/>
        <xdr:cNvPicPr>
          <a:picLocks noChangeAspect="1" noChangeArrowheads="1"/>
        </xdr:cNvPicPr>
      </xdr:nvPicPr>
      <xdr:blipFill>
        <a:blip xmlns:r="http://schemas.openxmlformats.org/officeDocument/2006/relationships" r:embed="rId4"/>
        <a:srcRect/>
        <a:stretch>
          <a:fillRect/>
        </a:stretch>
      </xdr:blipFill>
      <xdr:spPr bwMode="auto">
        <a:xfrm>
          <a:off x="3267075" y="3257550"/>
          <a:ext cx="2428875" cy="0"/>
        </a:xfrm>
        <a:prstGeom prst="rect">
          <a:avLst/>
        </a:prstGeom>
        <a:noFill/>
        <a:ln w="1">
          <a:noFill/>
          <a:miter lim="800000"/>
          <a:headEnd/>
          <a:tailEnd type="none" w="med" len="med"/>
        </a:ln>
        <a:effectLst/>
      </xdr:spPr>
    </xdr:pic>
    <xdr:clientData/>
  </xdr:twoCellAnchor>
  <xdr:twoCellAnchor editAs="oneCell">
    <xdr:from>
      <xdr:col>0</xdr:col>
      <xdr:colOff>219075</xdr:colOff>
      <xdr:row>1</xdr:row>
      <xdr:rowOff>9525</xdr:rowOff>
    </xdr:from>
    <xdr:to>
      <xdr:col>3</xdr:col>
      <xdr:colOff>47625</xdr:colOff>
      <xdr:row>1</xdr:row>
      <xdr:rowOff>9525</xdr:rowOff>
    </xdr:to>
    <xdr:pic>
      <xdr:nvPicPr>
        <xdr:cNvPr id="9" name="Imagem 8" descr="Imagem1.png"/>
        <xdr:cNvPicPr>
          <a:picLocks noChangeAspect="1"/>
        </xdr:cNvPicPr>
      </xdr:nvPicPr>
      <xdr:blipFill>
        <a:blip xmlns:r="http://schemas.openxmlformats.org/officeDocument/2006/relationships" r:embed="rId2" cstate="print"/>
        <a:stretch>
          <a:fillRect/>
        </a:stretch>
      </xdr:blipFill>
      <xdr:spPr>
        <a:xfrm>
          <a:off x="219075" y="200025"/>
          <a:ext cx="2933700" cy="0"/>
        </a:xfrm>
        <a:prstGeom prst="rect">
          <a:avLst/>
        </a:prstGeom>
      </xdr:spPr>
    </xdr:pic>
    <xdr:clientData/>
  </xdr:twoCellAnchor>
  <xdr:twoCellAnchor editAs="oneCell">
    <xdr:from>
      <xdr:col>1</xdr:col>
      <xdr:colOff>419100</xdr:colOff>
      <xdr:row>16</xdr:row>
      <xdr:rowOff>0</xdr:rowOff>
    </xdr:from>
    <xdr:to>
      <xdr:col>3</xdr:col>
      <xdr:colOff>552450</xdr:colOff>
      <xdr:row>16</xdr:row>
      <xdr:rowOff>0</xdr:rowOff>
    </xdr:to>
    <xdr:pic>
      <xdr:nvPicPr>
        <xdr:cNvPr id="10" name="Picture 2"/>
        <xdr:cNvPicPr>
          <a:picLocks noChangeAspect="1" noChangeArrowheads="1"/>
        </xdr:cNvPicPr>
      </xdr:nvPicPr>
      <xdr:blipFill>
        <a:blip xmlns:r="http://schemas.openxmlformats.org/officeDocument/2006/relationships" r:embed="rId5"/>
        <a:srcRect/>
        <a:stretch>
          <a:fillRect/>
        </a:stretch>
      </xdr:blipFill>
      <xdr:spPr bwMode="auto">
        <a:xfrm>
          <a:off x="666750" y="3257550"/>
          <a:ext cx="3457575" cy="0"/>
        </a:xfrm>
        <a:prstGeom prst="rect">
          <a:avLst/>
        </a:prstGeom>
        <a:noFill/>
      </xdr:spPr>
    </xdr:pic>
    <xdr:clientData/>
  </xdr:twoCellAnchor>
  <xdr:twoCellAnchor editAs="oneCell">
    <xdr:from>
      <xdr:col>8</xdr:col>
      <xdr:colOff>9525</xdr:colOff>
      <xdr:row>16</xdr:row>
      <xdr:rowOff>0</xdr:rowOff>
    </xdr:from>
    <xdr:to>
      <xdr:col>8</xdr:col>
      <xdr:colOff>609600</xdr:colOff>
      <xdr:row>16</xdr:row>
      <xdr:rowOff>0</xdr:rowOff>
    </xdr:to>
    <xdr:pic>
      <xdr:nvPicPr>
        <xdr:cNvPr id="11" name="Picture 4"/>
        <xdr:cNvPicPr>
          <a:picLocks noChangeAspect="1" noChangeArrowheads="1"/>
        </xdr:cNvPicPr>
      </xdr:nvPicPr>
      <xdr:blipFill>
        <a:blip xmlns:r="http://schemas.openxmlformats.org/officeDocument/2006/relationships" r:embed="rId6"/>
        <a:srcRect/>
        <a:stretch>
          <a:fillRect/>
        </a:stretch>
      </xdr:blipFill>
      <xdr:spPr bwMode="auto">
        <a:xfrm>
          <a:off x="6276975" y="3257550"/>
          <a:ext cx="600075" cy="0"/>
        </a:xfrm>
        <a:prstGeom prst="rect">
          <a:avLst/>
        </a:prstGeom>
        <a:noFill/>
      </xdr:spPr>
    </xdr:pic>
    <xdr:clientData/>
  </xdr:twoCellAnchor>
  <xdr:twoCellAnchor editAs="oneCell">
    <xdr:from>
      <xdr:col>1</xdr:col>
      <xdr:colOff>38100</xdr:colOff>
      <xdr:row>1</xdr:row>
      <xdr:rowOff>38100</xdr:rowOff>
    </xdr:from>
    <xdr:to>
      <xdr:col>1</xdr:col>
      <xdr:colOff>609600</xdr:colOff>
      <xdr:row>1</xdr:row>
      <xdr:rowOff>38100</xdr:rowOff>
    </xdr:to>
    <xdr:pic>
      <xdr:nvPicPr>
        <xdr:cNvPr id="12" name="Imagem 11" descr="Imagem1.png"/>
        <xdr:cNvPicPr>
          <a:picLocks noChangeAspect="1"/>
        </xdr:cNvPicPr>
      </xdr:nvPicPr>
      <xdr:blipFill>
        <a:blip xmlns:r="http://schemas.openxmlformats.org/officeDocument/2006/relationships" r:embed="rId2" cstate="print"/>
        <a:stretch>
          <a:fillRect/>
        </a:stretch>
      </xdr:blipFill>
      <xdr:spPr>
        <a:xfrm>
          <a:off x="285750" y="228600"/>
          <a:ext cx="628650" cy="0"/>
        </a:xfrm>
        <a:prstGeom prst="rect">
          <a:avLst/>
        </a:prstGeom>
      </xdr:spPr>
    </xdr:pic>
    <xdr:clientData/>
  </xdr:twoCellAnchor>
  <xdr:twoCellAnchor editAs="oneCell">
    <xdr:from>
      <xdr:col>6</xdr:col>
      <xdr:colOff>200025</xdr:colOff>
      <xdr:row>13</xdr:row>
      <xdr:rowOff>85480</xdr:rowOff>
    </xdr:from>
    <xdr:to>
      <xdr:col>12</xdr:col>
      <xdr:colOff>104775</xdr:colOff>
      <xdr:row>13</xdr:row>
      <xdr:rowOff>85480</xdr:rowOff>
    </xdr:to>
    <xdr:pic>
      <xdr:nvPicPr>
        <xdr:cNvPr id="13" name="Picture 1"/>
        <xdr:cNvPicPr>
          <a:picLocks noChangeAspect="1" noChangeArrowheads="1"/>
        </xdr:cNvPicPr>
      </xdr:nvPicPr>
      <xdr:blipFill>
        <a:blip xmlns:r="http://schemas.openxmlformats.org/officeDocument/2006/relationships" r:embed="rId7"/>
        <a:srcRect/>
        <a:stretch>
          <a:fillRect/>
        </a:stretch>
      </xdr:blipFill>
      <xdr:spPr bwMode="auto">
        <a:xfrm>
          <a:off x="5010150" y="2666755"/>
          <a:ext cx="6362700" cy="0"/>
        </a:xfrm>
        <a:prstGeom prst="rect">
          <a:avLst/>
        </a:prstGeom>
        <a:noFill/>
        <a:ln w="1">
          <a:noFill/>
          <a:miter lim="800000"/>
          <a:headEnd/>
          <a:tailEnd type="none" w="med" len="med"/>
        </a:ln>
        <a:effectLst/>
      </xdr:spPr>
    </xdr:pic>
    <xdr:clientData/>
  </xdr:twoCellAnchor>
  <xdr:twoCellAnchor editAs="oneCell">
    <xdr:from>
      <xdr:col>4</xdr:col>
      <xdr:colOff>142875</xdr:colOff>
      <xdr:row>16</xdr:row>
      <xdr:rowOff>0</xdr:rowOff>
    </xdr:from>
    <xdr:to>
      <xdr:col>10</xdr:col>
      <xdr:colOff>1171575</xdr:colOff>
      <xdr:row>16</xdr:row>
      <xdr:rowOff>0</xdr:rowOff>
    </xdr:to>
    <xdr:pic>
      <xdr:nvPicPr>
        <xdr:cNvPr id="17" name="Picture 5"/>
        <xdr:cNvPicPr>
          <a:picLocks noChangeAspect="1" noChangeArrowheads="1"/>
        </xdr:cNvPicPr>
      </xdr:nvPicPr>
      <xdr:blipFill>
        <a:blip xmlns:r="http://schemas.openxmlformats.org/officeDocument/2006/relationships" r:embed="rId8"/>
        <a:srcRect/>
        <a:stretch>
          <a:fillRect/>
        </a:stretch>
      </xdr:blipFill>
      <xdr:spPr bwMode="auto">
        <a:xfrm>
          <a:off x="3400425" y="6237222"/>
          <a:ext cx="7553325" cy="1077977"/>
        </a:xfrm>
        <a:prstGeom prst="rect">
          <a:avLst/>
        </a:prstGeom>
        <a:noFill/>
        <a:ln w="1">
          <a:noFill/>
          <a:miter lim="800000"/>
          <a:headEnd/>
          <a:tailEnd type="none" w="med" len="med"/>
        </a:ln>
        <a:effectLst/>
      </xdr:spPr>
    </xdr:pic>
    <xdr:clientData/>
  </xdr:twoCellAnchor>
  <xdr:twoCellAnchor>
    <xdr:from>
      <xdr:col>6</xdr:col>
      <xdr:colOff>123825</xdr:colOff>
      <xdr:row>15</xdr:row>
      <xdr:rowOff>19050</xdr:rowOff>
    </xdr:from>
    <xdr:to>
      <xdr:col>6</xdr:col>
      <xdr:colOff>590550</xdr:colOff>
      <xdr:row>17</xdr:row>
      <xdr:rowOff>66675</xdr:rowOff>
    </xdr:to>
    <xdr:cxnSp macro="">
      <xdr:nvCxnSpPr>
        <xdr:cNvPr id="23" name="Conector de seta reta 22"/>
        <xdr:cNvCxnSpPr/>
      </xdr:nvCxnSpPr>
      <xdr:spPr>
        <a:xfrm flipV="1">
          <a:off x="4867275" y="3086100"/>
          <a:ext cx="466725" cy="428625"/>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8</xdr:col>
      <xdr:colOff>1</xdr:colOff>
      <xdr:row>15</xdr:row>
      <xdr:rowOff>9526</xdr:rowOff>
    </xdr:from>
    <xdr:to>
      <xdr:col>8</xdr:col>
      <xdr:colOff>447676</xdr:colOff>
      <xdr:row>17</xdr:row>
      <xdr:rowOff>57150</xdr:rowOff>
    </xdr:to>
    <xdr:cxnSp macro="">
      <xdr:nvCxnSpPr>
        <xdr:cNvPr id="25" name="Conector de seta reta 24"/>
        <xdr:cNvCxnSpPr/>
      </xdr:nvCxnSpPr>
      <xdr:spPr>
        <a:xfrm rot="10800000">
          <a:off x="6200776" y="3076576"/>
          <a:ext cx="447675" cy="428624"/>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190501</xdr:colOff>
      <xdr:row>0</xdr:row>
      <xdr:rowOff>114300</xdr:rowOff>
    </xdr:from>
    <xdr:to>
      <xdr:col>10</xdr:col>
      <xdr:colOff>182881</xdr:colOff>
      <xdr:row>3</xdr:row>
      <xdr:rowOff>104775</xdr:rowOff>
    </xdr:to>
    <xdr:sp macro="" textlink="">
      <xdr:nvSpPr>
        <xdr:cNvPr id="2" name="Retângulo 1"/>
        <xdr:cNvSpPr/>
      </xdr:nvSpPr>
      <xdr:spPr>
        <a:xfrm>
          <a:off x="190501" y="114300"/>
          <a:ext cx="8161020" cy="53911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xdr:from>
      <xdr:col>9</xdr:col>
      <xdr:colOff>539114</xdr:colOff>
      <xdr:row>1</xdr:row>
      <xdr:rowOff>3810</xdr:rowOff>
    </xdr:from>
    <xdr:to>
      <xdr:col>9</xdr:col>
      <xdr:colOff>939164</xdr:colOff>
      <xdr:row>2</xdr:row>
      <xdr:rowOff>177165</xdr:rowOff>
    </xdr:to>
    <xdr:grpSp>
      <xdr:nvGrpSpPr>
        <xdr:cNvPr id="4" name="Grupo 3">
          <a:hlinkClick xmlns:r="http://schemas.openxmlformats.org/officeDocument/2006/relationships" r:id="rId1"/>
        </xdr:cNvPr>
        <xdr:cNvGrpSpPr/>
      </xdr:nvGrpSpPr>
      <xdr:grpSpPr>
        <a:xfrm>
          <a:off x="7724774" y="186690"/>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8</xdr:col>
      <xdr:colOff>57150</xdr:colOff>
      <xdr:row>14</xdr:row>
      <xdr:rowOff>19050</xdr:rowOff>
    </xdr:from>
    <xdr:to>
      <xdr:col>10</xdr:col>
      <xdr:colOff>266700</xdr:colOff>
      <xdr:row>98</xdr:row>
      <xdr:rowOff>0</xdr:rowOff>
    </xdr:to>
    <xdr:pic>
      <xdr:nvPicPr>
        <xdr:cNvPr id="7" name="Imagem 6"/>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6257925" y="2790825"/>
          <a:ext cx="1990725" cy="34290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6</xdr:col>
      <xdr:colOff>390525</xdr:colOff>
      <xdr:row>95</xdr:row>
      <xdr:rowOff>66675</xdr:rowOff>
    </xdr:from>
    <xdr:to>
      <xdr:col>7</xdr:col>
      <xdr:colOff>800100</xdr:colOff>
      <xdr:row>98</xdr:row>
      <xdr:rowOff>180975</xdr:rowOff>
    </xdr:to>
    <xdr:sp macro="" textlink="">
      <xdr:nvSpPr>
        <xdr:cNvPr id="8" name="Seta para a direita 7"/>
        <xdr:cNvSpPr/>
      </xdr:nvSpPr>
      <xdr:spPr>
        <a:xfrm>
          <a:off x="5133975" y="5715000"/>
          <a:ext cx="1019175" cy="685800"/>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609600</xdr:colOff>
      <xdr:row>103</xdr:row>
      <xdr:rowOff>66675</xdr:rowOff>
    </xdr:from>
    <xdr:to>
      <xdr:col>13</xdr:col>
      <xdr:colOff>504825</xdr:colOff>
      <xdr:row>120</xdr:row>
      <xdr:rowOff>85725</xdr:rowOff>
    </xdr:to>
    <xdr:pic>
      <xdr:nvPicPr>
        <xdr:cNvPr id="9" name="Imagem 8"/>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xmlns="" val="0"/>
            </a:ext>
          </a:extLst>
        </a:blip>
        <a:srcRect/>
        <a:stretch>
          <a:fillRect/>
        </a:stretch>
      </xdr:blipFill>
      <xdr:spPr bwMode="auto">
        <a:xfrm>
          <a:off x="4410075" y="7239000"/>
          <a:ext cx="6505575" cy="32575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5</xdr:col>
      <xdr:colOff>9525</xdr:colOff>
      <xdr:row>107</xdr:row>
      <xdr:rowOff>180975</xdr:rowOff>
    </xdr:from>
    <xdr:to>
      <xdr:col>7</xdr:col>
      <xdr:colOff>38100</xdr:colOff>
      <xdr:row>108</xdr:row>
      <xdr:rowOff>38100</xdr:rowOff>
    </xdr:to>
    <xdr:cxnSp macro="">
      <xdr:nvCxnSpPr>
        <xdr:cNvPr id="11" name="Conector de seta reta 10"/>
        <xdr:cNvCxnSpPr/>
      </xdr:nvCxnSpPr>
      <xdr:spPr>
        <a:xfrm>
          <a:off x="3810000" y="8115300"/>
          <a:ext cx="1581150" cy="47625"/>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0</xdr:colOff>
      <xdr:row>108</xdr:row>
      <xdr:rowOff>180975</xdr:rowOff>
    </xdr:from>
    <xdr:to>
      <xdr:col>5</xdr:col>
      <xdr:colOff>790575</xdr:colOff>
      <xdr:row>111</xdr:row>
      <xdr:rowOff>9525</xdr:rowOff>
    </xdr:to>
    <xdr:cxnSp macro="">
      <xdr:nvCxnSpPr>
        <xdr:cNvPr id="12" name="Conector de seta reta 11"/>
        <xdr:cNvCxnSpPr/>
      </xdr:nvCxnSpPr>
      <xdr:spPr>
        <a:xfrm flipV="1">
          <a:off x="3800475" y="8305800"/>
          <a:ext cx="790575" cy="40005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0</xdr:colOff>
      <xdr:row>112</xdr:row>
      <xdr:rowOff>85725</xdr:rowOff>
    </xdr:from>
    <xdr:to>
      <xdr:col>7</xdr:col>
      <xdr:colOff>295275</xdr:colOff>
      <xdr:row>114</xdr:row>
      <xdr:rowOff>9525</xdr:rowOff>
    </xdr:to>
    <xdr:cxnSp macro="">
      <xdr:nvCxnSpPr>
        <xdr:cNvPr id="14" name="Conector de seta reta 13"/>
        <xdr:cNvCxnSpPr/>
      </xdr:nvCxnSpPr>
      <xdr:spPr>
        <a:xfrm flipV="1">
          <a:off x="3800475" y="8972550"/>
          <a:ext cx="1847850" cy="30480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9525</xdr:colOff>
      <xdr:row>111</xdr:row>
      <xdr:rowOff>171450</xdr:rowOff>
    </xdr:from>
    <xdr:to>
      <xdr:col>5</xdr:col>
      <xdr:colOff>847725</xdr:colOff>
      <xdr:row>114</xdr:row>
      <xdr:rowOff>9525</xdr:rowOff>
    </xdr:to>
    <xdr:cxnSp macro="">
      <xdr:nvCxnSpPr>
        <xdr:cNvPr id="16" name="Conector de seta reta 15"/>
        <xdr:cNvCxnSpPr/>
      </xdr:nvCxnSpPr>
      <xdr:spPr>
        <a:xfrm flipV="1">
          <a:off x="3810000" y="8867775"/>
          <a:ext cx="838200" cy="409575"/>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0908030"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0</xdr:col>
      <xdr:colOff>219075</xdr:colOff>
      <xdr:row>1</xdr:row>
      <xdr:rowOff>9525</xdr:rowOff>
    </xdr:from>
    <xdr:to>
      <xdr:col>4</xdr:col>
      <xdr:colOff>28575</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1714500" cy="0"/>
        </a:xfrm>
        <a:prstGeom prst="rect">
          <a:avLst/>
        </a:prstGeom>
      </xdr:spPr>
    </xdr:pic>
    <xdr:clientData/>
  </xdr:twoCellAnchor>
  <xdr:twoCellAnchor editAs="oneCell">
    <xdr:from>
      <xdr:col>8</xdr:col>
      <xdr:colOff>9525</xdr:colOff>
      <xdr:row>33</xdr:row>
      <xdr:rowOff>114300</xdr:rowOff>
    </xdr:from>
    <xdr:to>
      <xdr:col>9</xdr:col>
      <xdr:colOff>200025</xdr:colOff>
      <xdr:row>33</xdr:row>
      <xdr:rowOff>114300</xdr:rowOff>
    </xdr:to>
    <xdr:pic>
      <xdr:nvPicPr>
        <xdr:cNvPr id="10" name="Picture 4"/>
        <xdr:cNvPicPr>
          <a:picLocks noChangeAspect="1" noChangeArrowheads="1"/>
        </xdr:cNvPicPr>
      </xdr:nvPicPr>
      <xdr:blipFill>
        <a:blip xmlns:r="http://schemas.openxmlformats.org/officeDocument/2006/relationships" r:embed="rId3"/>
        <a:srcRect/>
        <a:stretch>
          <a:fillRect/>
        </a:stretch>
      </xdr:blipFill>
      <xdr:spPr bwMode="auto">
        <a:xfrm>
          <a:off x="4953000" y="6905625"/>
          <a:ext cx="1238250"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1" name="Imagem 10" descr="Imagem1.png"/>
        <xdr:cNvPicPr>
          <a:picLocks noChangeAspect="1"/>
        </xdr:cNvPicPr>
      </xdr:nvPicPr>
      <xdr:blipFill>
        <a:blip xmlns:r="http://schemas.openxmlformats.org/officeDocument/2006/relationships" r:embed="rId1" cstate="print"/>
        <a:stretch>
          <a:fillRect/>
        </a:stretch>
      </xdr:blipFill>
      <xdr:spPr>
        <a:xfrm>
          <a:off x="285750" y="228600"/>
          <a:ext cx="628650" cy="0"/>
        </a:xfrm>
        <a:prstGeom prst="rect">
          <a:avLst/>
        </a:prstGeom>
      </xdr:spPr>
    </xdr:pic>
    <xdr:clientData/>
  </xdr:twoCellAnchor>
  <xdr:twoCellAnchor>
    <xdr:from>
      <xdr:col>6</xdr:col>
      <xdr:colOff>9525</xdr:colOff>
      <xdr:row>24</xdr:row>
      <xdr:rowOff>19050</xdr:rowOff>
    </xdr:from>
    <xdr:to>
      <xdr:col>7</xdr:col>
      <xdr:colOff>209550</xdr:colOff>
      <xdr:row>27</xdr:row>
      <xdr:rowOff>9525</xdr:rowOff>
    </xdr:to>
    <xdr:cxnSp macro="">
      <xdr:nvCxnSpPr>
        <xdr:cNvPr id="12" name="Conector de seta reta 11"/>
        <xdr:cNvCxnSpPr/>
      </xdr:nvCxnSpPr>
      <xdr:spPr>
        <a:xfrm flipV="1">
          <a:off x="3495675" y="4981575"/>
          <a:ext cx="809625" cy="561975"/>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0</xdr:col>
      <xdr:colOff>219075</xdr:colOff>
      <xdr:row>1</xdr:row>
      <xdr:rowOff>38100</xdr:rowOff>
    </xdr:from>
    <xdr:to>
      <xdr:col>2</xdr:col>
      <xdr:colOff>352425</xdr:colOff>
      <xdr:row>1</xdr:row>
      <xdr:rowOff>38100</xdr:rowOff>
    </xdr:to>
    <xdr:pic>
      <xdr:nvPicPr>
        <xdr:cNvPr id="14" name="Imagem 13" descr="Imagem1.png"/>
        <xdr:cNvPicPr>
          <a:picLocks noChangeAspect="1"/>
        </xdr:cNvPicPr>
      </xdr:nvPicPr>
      <xdr:blipFill>
        <a:blip xmlns:r="http://schemas.openxmlformats.org/officeDocument/2006/relationships" r:embed="rId1" cstate="print"/>
        <a:stretch>
          <a:fillRect/>
        </a:stretch>
      </xdr:blipFill>
      <xdr:spPr>
        <a:xfrm>
          <a:off x="219075" y="228600"/>
          <a:ext cx="628650" cy="354119"/>
        </a:xfrm>
        <a:prstGeom prst="rect">
          <a:avLst/>
        </a:prstGeom>
      </xdr:spPr>
    </xdr:pic>
    <xdr:clientData/>
  </xdr:twoCellAnchor>
  <xdr:twoCellAnchor>
    <xdr:from>
      <xdr:col>11</xdr:col>
      <xdr:colOff>466725</xdr:colOff>
      <xdr:row>22</xdr:row>
      <xdr:rowOff>180976</xdr:rowOff>
    </xdr:from>
    <xdr:to>
      <xdr:col>12</xdr:col>
      <xdr:colOff>438150</xdr:colOff>
      <xdr:row>25</xdr:row>
      <xdr:rowOff>180975</xdr:rowOff>
    </xdr:to>
    <xdr:cxnSp macro="">
      <xdr:nvCxnSpPr>
        <xdr:cNvPr id="20" name="Conector de seta reta 19"/>
        <xdr:cNvCxnSpPr/>
      </xdr:nvCxnSpPr>
      <xdr:spPr>
        <a:xfrm flipV="1">
          <a:off x="7991475" y="4762501"/>
          <a:ext cx="581025" cy="571499"/>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1212830" y="180975"/>
          <a:ext cx="400050" cy="37147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19</xdr:row>
      <xdr:rowOff>114300</xdr:rowOff>
    </xdr:from>
    <xdr:to>
      <xdr:col>7</xdr:col>
      <xdr:colOff>657225</xdr:colOff>
      <xdr:row>19</xdr:row>
      <xdr:rowOff>114300</xdr:rowOff>
    </xdr:to>
    <xdr:pic>
      <xdr:nvPicPr>
        <xdr:cNvPr id="7" name="Picture 9"/>
        <xdr:cNvPicPr>
          <a:picLocks noChangeAspect="1" noChangeArrowheads="1"/>
        </xdr:cNvPicPr>
      </xdr:nvPicPr>
      <xdr:blipFill>
        <a:blip xmlns:r="http://schemas.openxmlformats.org/officeDocument/2006/relationships" r:embed="rId3"/>
        <a:srcRect/>
        <a:stretch>
          <a:fillRect/>
        </a:stretch>
      </xdr:blipFill>
      <xdr:spPr bwMode="auto">
        <a:xfrm>
          <a:off x="2276475" y="4886325"/>
          <a:ext cx="2714625" cy="0"/>
        </a:xfrm>
        <a:prstGeom prst="rect">
          <a:avLst/>
        </a:prstGeom>
        <a:noFill/>
        <a:ln w="1">
          <a:noFill/>
          <a:miter lim="800000"/>
          <a:headEnd/>
          <a:tailEnd type="none" w="med" len="med"/>
        </a:ln>
        <a:effectLst/>
      </xdr:spPr>
    </xdr:pic>
    <xdr:clientData/>
  </xdr:twoCellAnchor>
  <xdr:twoCellAnchor editAs="oneCell">
    <xdr:from>
      <xdr:col>0</xdr:col>
      <xdr:colOff>219075</xdr:colOff>
      <xdr:row>1</xdr:row>
      <xdr:rowOff>9525</xdr:rowOff>
    </xdr:from>
    <xdr:to>
      <xdr:col>3</xdr:col>
      <xdr:colOff>723900</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2076450" cy="0"/>
        </a:xfrm>
        <a:prstGeom prst="rect">
          <a:avLst/>
        </a:prstGeom>
      </xdr:spPr>
    </xdr:pic>
    <xdr:clientData/>
  </xdr:twoCellAnchor>
  <xdr:twoCellAnchor editAs="oneCell">
    <xdr:from>
      <xdr:col>1</xdr:col>
      <xdr:colOff>419100</xdr:colOff>
      <xdr:row>20</xdr:row>
      <xdr:rowOff>45448</xdr:rowOff>
    </xdr:from>
    <xdr:to>
      <xdr:col>7</xdr:col>
      <xdr:colOff>752475</xdr:colOff>
      <xdr:row>20</xdr:row>
      <xdr:rowOff>45448</xdr:rowOff>
    </xdr:to>
    <xdr:pic>
      <xdr:nvPicPr>
        <xdr:cNvPr id="9" name="Picture 2"/>
        <xdr:cNvPicPr>
          <a:picLocks noChangeAspect="1" noChangeArrowheads="1"/>
        </xdr:cNvPicPr>
      </xdr:nvPicPr>
      <xdr:blipFill>
        <a:blip xmlns:r="http://schemas.openxmlformats.org/officeDocument/2006/relationships" r:embed="rId4"/>
        <a:srcRect/>
        <a:stretch>
          <a:fillRect/>
        </a:stretch>
      </xdr:blipFill>
      <xdr:spPr bwMode="auto">
        <a:xfrm>
          <a:off x="666750" y="5007973"/>
          <a:ext cx="5029200" cy="0"/>
        </a:xfrm>
        <a:prstGeom prst="rect">
          <a:avLst/>
        </a:prstGeom>
        <a:noFill/>
      </xdr:spPr>
    </xdr:pic>
    <xdr:clientData/>
  </xdr:twoCellAnchor>
  <xdr:twoCellAnchor editAs="oneCell">
    <xdr:from>
      <xdr:col>8</xdr:col>
      <xdr:colOff>9525</xdr:colOff>
      <xdr:row>29</xdr:row>
      <xdr:rowOff>114300</xdr:rowOff>
    </xdr:from>
    <xdr:to>
      <xdr:col>8</xdr:col>
      <xdr:colOff>809625</xdr:colOff>
      <xdr:row>29</xdr:row>
      <xdr:rowOff>114300</xdr:rowOff>
    </xdr:to>
    <xdr:pic>
      <xdr:nvPicPr>
        <xdr:cNvPr id="10" name="Picture 4"/>
        <xdr:cNvPicPr>
          <a:picLocks noChangeAspect="1" noChangeArrowheads="1"/>
        </xdr:cNvPicPr>
      </xdr:nvPicPr>
      <xdr:blipFill>
        <a:blip xmlns:r="http://schemas.openxmlformats.org/officeDocument/2006/relationships" r:embed="rId5"/>
        <a:srcRect/>
        <a:stretch>
          <a:fillRect/>
        </a:stretch>
      </xdr:blipFill>
      <xdr:spPr bwMode="auto">
        <a:xfrm>
          <a:off x="4953000" y="6791325"/>
          <a:ext cx="1019175"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1" name="Imagem 10" descr="Imagem1.png"/>
        <xdr:cNvPicPr>
          <a:picLocks noChangeAspect="1"/>
        </xdr:cNvPicPr>
      </xdr:nvPicPr>
      <xdr:blipFill>
        <a:blip xmlns:r="http://schemas.openxmlformats.org/officeDocument/2006/relationships" r:embed="rId1" cstate="print"/>
        <a:stretch>
          <a:fillRect/>
        </a:stretch>
      </xdr:blipFill>
      <xdr:spPr>
        <a:xfrm>
          <a:off x="285750" y="228600"/>
          <a:ext cx="628650" cy="0"/>
        </a:xfrm>
        <a:prstGeom prst="rect">
          <a:avLst/>
        </a:prstGeom>
      </xdr:spPr>
    </xdr:pic>
    <xdr:clientData/>
  </xdr:twoCellAnchor>
  <xdr:twoCellAnchor editAs="oneCell">
    <xdr:from>
      <xdr:col>0</xdr:col>
      <xdr:colOff>219075</xdr:colOff>
      <xdr:row>1</xdr:row>
      <xdr:rowOff>38100</xdr:rowOff>
    </xdr:from>
    <xdr:to>
      <xdr:col>2</xdr:col>
      <xdr:colOff>714375</xdr:colOff>
      <xdr:row>1</xdr:row>
      <xdr:rowOff>38100</xdr:rowOff>
    </xdr:to>
    <xdr:pic>
      <xdr:nvPicPr>
        <xdr:cNvPr id="13" name="Imagem 12" descr="Imagem1.png"/>
        <xdr:cNvPicPr>
          <a:picLocks noChangeAspect="1"/>
        </xdr:cNvPicPr>
      </xdr:nvPicPr>
      <xdr:blipFill>
        <a:blip xmlns:r="http://schemas.openxmlformats.org/officeDocument/2006/relationships" r:embed="rId1" cstate="print"/>
        <a:stretch>
          <a:fillRect/>
        </a:stretch>
      </xdr:blipFill>
      <xdr:spPr>
        <a:xfrm>
          <a:off x="219075" y="228600"/>
          <a:ext cx="990600" cy="0"/>
        </a:xfrm>
        <a:prstGeom prst="rect">
          <a:avLst/>
        </a:prstGeom>
      </xdr:spPr>
    </xdr:pic>
    <xdr:clientData/>
  </xdr:twoCellAnchor>
  <xdr:twoCellAnchor>
    <xdr:from>
      <xdr:col>5</xdr:col>
      <xdr:colOff>371475</xdr:colOff>
      <xdr:row>15</xdr:row>
      <xdr:rowOff>85725</xdr:rowOff>
    </xdr:from>
    <xdr:to>
      <xdr:col>11</xdr:col>
      <xdr:colOff>295275</xdr:colOff>
      <xdr:row>29</xdr:row>
      <xdr:rowOff>161925</xdr:rowOff>
    </xdr:to>
    <xdr:graphicFrame macro="">
      <xdr:nvGraphicFramePr>
        <xdr:cNvPr id="16" name="Gráfico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828675</xdr:colOff>
      <xdr:row>33</xdr:row>
      <xdr:rowOff>180975</xdr:rowOff>
    </xdr:from>
    <xdr:to>
      <xdr:col>10</xdr:col>
      <xdr:colOff>9525</xdr:colOff>
      <xdr:row>44</xdr:row>
      <xdr:rowOff>0</xdr:rowOff>
    </xdr:to>
    <xdr:sp macro="" textlink="">
      <xdr:nvSpPr>
        <xdr:cNvPr id="17" name="Retângulo 16"/>
        <xdr:cNvSpPr/>
      </xdr:nvSpPr>
      <xdr:spPr>
        <a:xfrm>
          <a:off x="5200650" y="6677025"/>
          <a:ext cx="1809750" cy="1914525"/>
        </a:xfrm>
        <a:prstGeom prst="rect">
          <a:avLst/>
        </a:prstGeom>
        <a:noFill/>
        <a:ln w="38100">
          <a:solidFill>
            <a:srgbClr val="FF0000"/>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pt-BR" sz="1100"/>
        </a:p>
      </xdr:txBody>
    </xdr:sp>
    <xdr:clientData/>
  </xdr:twoCellAnchor>
  <xdr:twoCellAnchor editAs="oneCell">
    <xdr:from>
      <xdr:col>7</xdr:col>
      <xdr:colOff>0</xdr:colOff>
      <xdr:row>45</xdr:row>
      <xdr:rowOff>180975</xdr:rowOff>
    </xdr:from>
    <xdr:to>
      <xdr:col>15</xdr:col>
      <xdr:colOff>542925</xdr:colOff>
      <xdr:row>52</xdr:row>
      <xdr:rowOff>180975</xdr:rowOff>
    </xdr:to>
    <xdr:pic>
      <xdr:nvPicPr>
        <xdr:cNvPr id="6146" name="Picture 2"/>
        <xdr:cNvPicPr>
          <a:picLocks noChangeAspect="1" noChangeArrowheads="1"/>
        </xdr:cNvPicPr>
      </xdr:nvPicPr>
      <xdr:blipFill>
        <a:blip xmlns:r="http://schemas.openxmlformats.org/officeDocument/2006/relationships" r:embed="rId7" cstate="print"/>
        <a:srcRect/>
        <a:stretch>
          <a:fillRect/>
        </a:stretch>
      </xdr:blipFill>
      <xdr:spPr bwMode="auto">
        <a:xfrm>
          <a:off x="4371975" y="8963025"/>
          <a:ext cx="6410325" cy="1333500"/>
        </a:xfrm>
        <a:prstGeom prst="rect">
          <a:avLst/>
        </a:prstGeom>
        <a:noFill/>
      </xdr:spPr>
    </xdr:pic>
    <xdr:clientData/>
  </xdr:twoCellAnchor>
  <xdr:twoCellAnchor editAs="oneCell">
    <xdr:from>
      <xdr:col>1</xdr:col>
      <xdr:colOff>57150</xdr:colOff>
      <xdr:row>63</xdr:row>
      <xdr:rowOff>142875</xdr:rowOff>
    </xdr:from>
    <xdr:to>
      <xdr:col>15</xdr:col>
      <xdr:colOff>381000</xdr:colOff>
      <xdr:row>70</xdr:row>
      <xdr:rowOff>161925</xdr:rowOff>
    </xdr:to>
    <xdr:pic>
      <xdr:nvPicPr>
        <xdr:cNvPr id="6148" name="Picture 4"/>
        <xdr:cNvPicPr>
          <a:picLocks noChangeAspect="1" noChangeArrowheads="1"/>
        </xdr:cNvPicPr>
      </xdr:nvPicPr>
      <xdr:blipFill>
        <a:blip xmlns:r="http://schemas.openxmlformats.org/officeDocument/2006/relationships" r:embed="rId8" cstate="print"/>
        <a:srcRect/>
        <a:stretch>
          <a:fillRect/>
        </a:stretch>
      </xdr:blipFill>
      <xdr:spPr bwMode="auto">
        <a:xfrm>
          <a:off x="304800" y="12353925"/>
          <a:ext cx="10315575" cy="1352550"/>
        </a:xfrm>
        <a:prstGeom prst="rect">
          <a:avLst/>
        </a:prstGeom>
        <a:noFill/>
      </xdr:spPr>
    </xdr:pic>
    <xdr:clientData/>
  </xdr:twoCellAnchor>
  <xdr:twoCellAnchor>
    <xdr:from>
      <xdr:col>1</xdr:col>
      <xdr:colOff>438151</xdr:colOff>
      <xdr:row>65</xdr:row>
      <xdr:rowOff>0</xdr:rowOff>
    </xdr:from>
    <xdr:to>
      <xdr:col>10</xdr:col>
      <xdr:colOff>485776</xdr:colOff>
      <xdr:row>66</xdr:row>
      <xdr:rowOff>133350</xdr:rowOff>
    </xdr:to>
    <xdr:sp macro="" textlink="">
      <xdr:nvSpPr>
        <xdr:cNvPr id="20" name="Retângulo 19"/>
        <xdr:cNvSpPr/>
      </xdr:nvSpPr>
      <xdr:spPr>
        <a:xfrm>
          <a:off x="685801" y="12592050"/>
          <a:ext cx="6800850" cy="323850"/>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BR" sz="1100"/>
        </a:p>
      </xdr:txBody>
    </xdr:sp>
    <xdr:clientData/>
  </xdr:twoCellAnchor>
  <xdr:twoCellAnchor editAs="oneCell">
    <xdr:from>
      <xdr:col>1</xdr:col>
      <xdr:colOff>19050</xdr:colOff>
      <xdr:row>73</xdr:row>
      <xdr:rowOff>19050</xdr:rowOff>
    </xdr:from>
    <xdr:to>
      <xdr:col>15</xdr:col>
      <xdr:colOff>38100</xdr:colOff>
      <xdr:row>80</xdr:row>
      <xdr:rowOff>57150</xdr:rowOff>
    </xdr:to>
    <xdr:pic>
      <xdr:nvPicPr>
        <xdr:cNvPr id="6150" name="Picture 6"/>
        <xdr:cNvPicPr>
          <a:picLocks noChangeAspect="1" noChangeArrowheads="1"/>
        </xdr:cNvPicPr>
      </xdr:nvPicPr>
      <xdr:blipFill>
        <a:blip xmlns:r="http://schemas.openxmlformats.org/officeDocument/2006/relationships" r:embed="rId9" cstate="print"/>
        <a:srcRect/>
        <a:stretch>
          <a:fillRect/>
        </a:stretch>
      </xdr:blipFill>
      <xdr:spPr bwMode="auto">
        <a:xfrm>
          <a:off x="266700" y="14135100"/>
          <a:ext cx="10010775" cy="1371600"/>
        </a:xfrm>
        <a:prstGeom prst="rect">
          <a:avLst/>
        </a:prstGeom>
        <a:noFill/>
      </xdr:spPr>
    </xdr:pic>
    <xdr:clientData/>
  </xdr:twoCellAnchor>
  <xdr:twoCellAnchor>
    <xdr:from>
      <xdr:col>1</xdr:col>
      <xdr:colOff>409575</xdr:colOff>
      <xdr:row>74</xdr:row>
      <xdr:rowOff>85725</xdr:rowOff>
    </xdr:from>
    <xdr:to>
      <xdr:col>13</xdr:col>
      <xdr:colOff>400049</xdr:colOff>
      <xdr:row>76</xdr:row>
      <xdr:rowOff>28575</xdr:rowOff>
    </xdr:to>
    <xdr:sp macro="" textlink="">
      <xdr:nvSpPr>
        <xdr:cNvPr id="22" name="Retângulo 21"/>
        <xdr:cNvSpPr/>
      </xdr:nvSpPr>
      <xdr:spPr>
        <a:xfrm>
          <a:off x="657225" y="14392275"/>
          <a:ext cx="8762999" cy="323850"/>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BR" sz="1100"/>
        </a:p>
      </xdr:txBody>
    </xdr:sp>
    <xdr:clientData/>
  </xdr:twoCellAnchor>
  <xdr:twoCellAnchor>
    <xdr:from>
      <xdr:col>10</xdr:col>
      <xdr:colOff>266699</xdr:colOff>
      <xdr:row>48</xdr:row>
      <xdr:rowOff>76200</xdr:rowOff>
    </xdr:from>
    <xdr:to>
      <xdr:col>15</xdr:col>
      <xdr:colOff>238124</xdr:colOff>
      <xdr:row>52</xdr:row>
      <xdr:rowOff>142875</xdr:rowOff>
    </xdr:to>
    <xdr:sp macro="" textlink="">
      <xdr:nvSpPr>
        <xdr:cNvPr id="23" name="Retângulo 22"/>
        <xdr:cNvSpPr/>
      </xdr:nvSpPr>
      <xdr:spPr>
        <a:xfrm>
          <a:off x="7267574" y="9429750"/>
          <a:ext cx="3209925" cy="828675"/>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BR" sz="1100"/>
        </a:p>
      </xdr:txBody>
    </xdr:sp>
    <xdr:clientData/>
  </xdr:twoCellAnchor>
  <xdr:twoCellAnchor>
    <xdr:from>
      <xdr:col>3</xdr:col>
      <xdr:colOff>361950</xdr:colOff>
      <xdr:row>48</xdr:row>
      <xdr:rowOff>19050</xdr:rowOff>
    </xdr:from>
    <xdr:to>
      <xdr:col>8</xdr:col>
      <xdr:colOff>190500</xdr:colOff>
      <xdr:row>48</xdr:row>
      <xdr:rowOff>114300</xdr:rowOff>
    </xdr:to>
    <xdr:cxnSp macro="">
      <xdr:nvCxnSpPr>
        <xdr:cNvPr id="25" name="Conector de seta reta 24"/>
        <xdr:cNvCxnSpPr/>
      </xdr:nvCxnSpPr>
      <xdr:spPr>
        <a:xfrm flipV="1">
          <a:off x="2105025" y="9372600"/>
          <a:ext cx="3305175" cy="9525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361950</xdr:colOff>
      <xdr:row>49</xdr:row>
      <xdr:rowOff>47626</xdr:rowOff>
    </xdr:from>
    <xdr:to>
      <xdr:col>10</xdr:col>
      <xdr:colOff>266699</xdr:colOff>
      <xdr:row>50</xdr:row>
      <xdr:rowOff>109538</xdr:rowOff>
    </xdr:to>
    <xdr:cxnSp macro="">
      <xdr:nvCxnSpPr>
        <xdr:cNvPr id="26" name="Conector de seta reta 25"/>
        <xdr:cNvCxnSpPr>
          <a:endCxn id="23" idx="1"/>
        </xdr:cNvCxnSpPr>
      </xdr:nvCxnSpPr>
      <xdr:spPr>
        <a:xfrm>
          <a:off x="2105025" y="9591676"/>
          <a:ext cx="5162549" cy="252412"/>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8</xdr:col>
      <xdr:colOff>419100</xdr:colOff>
      <xdr:row>75</xdr:row>
      <xdr:rowOff>76201</xdr:rowOff>
    </xdr:from>
    <xdr:to>
      <xdr:col>10</xdr:col>
      <xdr:colOff>609600</xdr:colOff>
      <xdr:row>82</xdr:row>
      <xdr:rowOff>95250</xdr:rowOff>
    </xdr:to>
    <xdr:cxnSp macro="">
      <xdr:nvCxnSpPr>
        <xdr:cNvPr id="29" name="Conector de seta reta 28"/>
        <xdr:cNvCxnSpPr/>
      </xdr:nvCxnSpPr>
      <xdr:spPr>
        <a:xfrm flipV="1">
          <a:off x="5638800" y="14573251"/>
          <a:ext cx="1971675" cy="1352549"/>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8</xdr:col>
      <xdr:colOff>409575</xdr:colOff>
      <xdr:row>75</xdr:row>
      <xdr:rowOff>133351</xdr:rowOff>
    </xdr:from>
    <xdr:to>
      <xdr:col>11</xdr:col>
      <xdr:colOff>533400</xdr:colOff>
      <xdr:row>82</xdr:row>
      <xdr:rowOff>104775</xdr:rowOff>
    </xdr:to>
    <xdr:cxnSp macro="">
      <xdr:nvCxnSpPr>
        <xdr:cNvPr id="32" name="Conector de seta reta 31"/>
        <xdr:cNvCxnSpPr/>
      </xdr:nvCxnSpPr>
      <xdr:spPr>
        <a:xfrm flipV="1">
          <a:off x="5629275" y="14630401"/>
          <a:ext cx="2705100" cy="1304924"/>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8</xdr:col>
      <xdr:colOff>381000</xdr:colOff>
      <xdr:row>75</xdr:row>
      <xdr:rowOff>133351</xdr:rowOff>
    </xdr:from>
    <xdr:to>
      <xdr:col>13</xdr:col>
      <xdr:colOff>0</xdr:colOff>
      <xdr:row>82</xdr:row>
      <xdr:rowOff>104775</xdr:rowOff>
    </xdr:to>
    <xdr:cxnSp macro="">
      <xdr:nvCxnSpPr>
        <xdr:cNvPr id="33" name="Conector de seta reta 32"/>
        <xdr:cNvCxnSpPr/>
      </xdr:nvCxnSpPr>
      <xdr:spPr>
        <a:xfrm flipV="1">
          <a:off x="5600700" y="14630401"/>
          <a:ext cx="3419475" cy="1304924"/>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95251</xdr:colOff>
      <xdr:row>82</xdr:row>
      <xdr:rowOff>95251</xdr:rowOff>
    </xdr:from>
    <xdr:to>
      <xdr:col>8</xdr:col>
      <xdr:colOff>400053</xdr:colOff>
      <xdr:row>82</xdr:row>
      <xdr:rowOff>106364</xdr:rowOff>
    </xdr:to>
    <xdr:cxnSp macro="">
      <xdr:nvCxnSpPr>
        <xdr:cNvPr id="38" name="Conector reto 37"/>
        <xdr:cNvCxnSpPr/>
      </xdr:nvCxnSpPr>
      <xdr:spPr>
        <a:xfrm rot="10800000">
          <a:off x="3248026" y="15925801"/>
          <a:ext cx="2371727" cy="11113"/>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123826</xdr:colOff>
      <xdr:row>0</xdr:row>
      <xdr:rowOff>95250</xdr:rowOff>
    </xdr:from>
    <xdr:to>
      <xdr:col>17</xdr:col>
      <xdr:colOff>133350</xdr:colOff>
      <xdr:row>3</xdr:row>
      <xdr:rowOff>85725</xdr:rowOff>
    </xdr:to>
    <xdr:sp macro="" textlink="">
      <xdr:nvSpPr>
        <xdr:cNvPr id="2" name="Retângulo 1"/>
        <xdr:cNvSpPr/>
      </xdr:nvSpPr>
      <xdr:spPr>
        <a:xfrm>
          <a:off x="123826" y="95250"/>
          <a:ext cx="11191874" cy="561975"/>
        </a:xfrm>
        <a:prstGeom prst="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pt-BR" sz="2000"/>
            <a:t>Dicas Excel</a:t>
          </a:r>
        </a:p>
      </xdr:txBody>
    </xdr:sp>
    <xdr:clientData/>
  </xdr:twoCellAnchor>
  <xdr:twoCellAnchor editAs="oneCell">
    <xdr:from>
      <xdr:col>1</xdr:col>
      <xdr:colOff>28575</xdr:colOff>
      <xdr:row>1</xdr:row>
      <xdr:rowOff>28575</xdr:rowOff>
    </xdr:from>
    <xdr:to>
      <xdr:col>2</xdr:col>
      <xdr:colOff>47625</xdr:colOff>
      <xdr:row>1</xdr:row>
      <xdr:rowOff>28575</xdr:rowOff>
    </xdr:to>
    <xdr:pic>
      <xdr:nvPicPr>
        <xdr:cNvPr id="3" name="Imagem 2" descr="Imagem1.png"/>
        <xdr:cNvPicPr>
          <a:picLocks noChangeAspect="1"/>
        </xdr:cNvPicPr>
      </xdr:nvPicPr>
      <xdr:blipFill>
        <a:blip xmlns:r="http://schemas.openxmlformats.org/officeDocument/2006/relationships" r:embed="rId1" cstate="print"/>
        <a:stretch>
          <a:fillRect/>
        </a:stretch>
      </xdr:blipFill>
      <xdr:spPr>
        <a:xfrm>
          <a:off x="276225" y="219075"/>
          <a:ext cx="628650" cy="0"/>
        </a:xfrm>
        <a:prstGeom prst="rect">
          <a:avLst/>
        </a:prstGeom>
      </xdr:spPr>
    </xdr:pic>
    <xdr:clientData/>
  </xdr:twoCellAnchor>
  <xdr:twoCellAnchor>
    <xdr:from>
      <xdr:col>16</xdr:col>
      <xdr:colOff>209550</xdr:colOff>
      <xdr:row>0</xdr:row>
      <xdr:rowOff>180975</xdr:rowOff>
    </xdr:from>
    <xdr:to>
      <xdr:col>17</xdr:col>
      <xdr:colOff>0</xdr:colOff>
      <xdr:row>2</xdr:row>
      <xdr:rowOff>171450</xdr:rowOff>
    </xdr:to>
    <xdr:grpSp>
      <xdr:nvGrpSpPr>
        <xdr:cNvPr id="4" name="Grupo 3">
          <a:hlinkClick xmlns:r="http://schemas.openxmlformats.org/officeDocument/2006/relationships" r:id="rId2"/>
        </xdr:cNvPr>
        <xdr:cNvGrpSpPr/>
      </xdr:nvGrpSpPr>
      <xdr:grpSpPr>
        <a:xfrm>
          <a:off x="10908030" y="180975"/>
          <a:ext cx="400050" cy="356235"/>
          <a:chOff x="9334500" y="1162050"/>
          <a:chExt cx="400050" cy="371475"/>
        </a:xfrm>
      </xdr:grpSpPr>
      <xdr:sp macro="" textlink="">
        <xdr:nvSpPr>
          <xdr:cNvPr id="5" name="Elipse 4"/>
          <xdr:cNvSpPr/>
        </xdr:nvSpPr>
        <xdr:spPr>
          <a:xfrm>
            <a:off x="9334500" y="1162050"/>
            <a:ext cx="400050" cy="371475"/>
          </a:xfrm>
          <a:prstGeom prst="ellipse">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endParaRPr lang="pt-BR" sz="1100"/>
          </a:p>
        </xdr:txBody>
      </xdr:sp>
      <xdr:sp macro="" textlink="">
        <xdr:nvSpPr>
          <xdr:cNvPr id="6" name="Seta circular 5"/>
          <xdr:cNvSpPr/>
        </xdr:nvSpPr>
        <xdr:spPr>
          <a:xfrm>
            <a:off x="9372600" y="1181100"/>
            <a:ext cx="314325" cy="323850"/>
          </a:xfrm>
          <a:prstGeom prst="circularArrow">
            <a:avLst>
              <a:gd name="adj1" fmla="val 12500"/>
              <a:gd name="adj2" fmla="val 1142319"/>
              <a:gd name="adj3" fmla="val 20457681"/>
              <a:gd name="adj4" fmla="val 3618211"/>
              <a:gd name="adj5" fmla="val 20017"/>
            </a:avLst>
          </a:prstGeom>
          <a:solidFill>
            <a:srgbClr val="002060"/>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endParaRPr lang="pt-BR" sz="1100">
              <a:solidFill>
                <a:schemeClr val="tx1"/>
              </a:solidFill>
            </a:endParaRPr>
          </a:p>
        </xdr:txBody>
      </xdr:sp>
    </xdr:grpSp>
    <xdr:clientData/>
  </xdr:twoCellAnchor>
  <xdr:twoCellAnchor editAs="oneCell">
    <xdr:from>
      <xdr:col>4</xdr:col>
      <xdr:colOff>9525</xdr:colOff>
      <xdr:row>20</xdr:row>
      <xdr:rowOff>114300</xdr:rowOff>
    </xdr:from>
    <xdr:to>
      <xdr:col>8</xdr:col>
      <xdr:colOff>47625</xdr:colOff>
      <xdr:row>20</xdr:row>
      <xdr:rowOff>114300</xdr:rowOff>
    </xdr:to>
    <xdr:pic>
      <xdr:nvPicPr>
        <xdr:cNvPr id="7" name="Picture 9"/>
        <xdr:cNvPicPr>
          <a:picLocks noChangeAspect="1" noChangeArrowheads="1"/>
        </xdr:cNvPicPr>
      </xdr:nvPicPr>
      <xdr:blipFill>
        <a:blip xmlns:r="http://schemas.openxmlformats.org/officeDocument/2006/relationships" r:embed="rId3"/>
        <a:srcRect/>
        <a:stretch>
          <a:fillRect/>
        </a:stretch>
      </xdr:blipFill>
      <xdr:spPr bwMode="auto">
        <a:xfrm>
          <a:off x="2276475" y="5000625"/>
          <a:ext cx="2952750" cy="0"/>
        </a:xfrm>
        <a:prstGeom prst="rect">
          <a:avLst/>
        </a:prstGeom>
        <a:noFill/>
        <a:ln w="1">
          <a:noFill/>
          <a:miter lim="800000"/>
          <a:headEnd/>
          <a:tailEnd type="none" w="med" len="med"/>
        </a:ln>
        <a:effectLst/>
      </xdr:spPr>
    </xdr:pic>
    <xdr:clientData/>
  </xdr:twoCellAnchor>
  <xdr:twoCellAnchor editAs="oneCell">
    <xdr:from>
      <xdr:col>0</xdr:col>
      <xdr:colOff>219075</xdr:colOff>
      <xdr:row>1</xdr:row>
      <xdr:rowOff>9525</xdr:rowOff>
    </xdr:from>
    <xdr:to>
      <xdr:col>4</xdr:col>
      <xdr:colOff>28575</xdr:colOff>
      <xdr:row>1</xdr:row>
      <xdr:rowOff>9525</xdr:rowOff>
    </xdr:to>
    <xdr:pic>
      <xdr:nvPicPr>
        <xdr:cNvPr id="8" name="Imagem 7" descr="Imagem1.png"/>
        <xdr:cNvPicPr>
          <a:picLocks noChangeAspect="1"/>
        </xdr:cNvPicPr>
      </xdr:nvPicPr>
      <xdr:blipFill>
        <a:blip xmlns:r="http://schemas.openxmlformats.org/officeDocument/2006/relationships" r:embed="rId1" cstate="print"/>
        <a:stretch>
          <a:fillRect/>
        </a:stretch>
      </xdr:blipFill>
      <xdr:spPr>
        <a:xfrm>
          <a:off x="219075" y="200025"/>
          <a:ext cx="1714500" cy="0"/>
        </a:xfrm>
        <a:prstGeom prst="rect">
          <a:avLst/>
        </a:prstGeom>
      </xdr:spPr>
    </xdr:pic>
    <xdr:clientData/>
  </xdr:twoCellAnchor>
  <xdr:twoCellAnchor editAs="oneCell">
    <xdr:from>
      <xdr:col>1</xdr:col>
      <xdr:colOff>419100</xdr:colOff>
      <xdr:row>21</xdr:row>
      <xdr:rowOff>45448</xdr:rowOff>
    </xdr:from>
    <xdr:to>
      <xdr:col>8</xdr:col>
      <xdr:colOff>752475</xdr:colOff>
      <xdr:row>21</xdr:row>
      <xdr:rowOff>45448</xdr:rowOff>
    </xdr:to>
    <xdr:pic>
      <xdr:nvPicPr>
        <xdr:cNvPr id="9" name="Picture 2"/>
        <xdr:cNvPicPr>
          <a:picLocks noChangeAspect="1" noChangeArrowheads="1"/>
        </xdr:cNvPicPr>
      </xdr:nvPicPr>
      <xdr:blipFill>
        <a:blip xmlns:r="http://schemas.openxmlformats.org/officeDocument/2006/relationships" r:embed="rId4"/>
        <a:srcRect/>
        <a:stretch>
          <a:fillRect/>
        </a:stretch>
      </xdr:blipFill>
      <xdr:spPr bwMode="auto">
        <a:xfrm>
          <a:off x="666750" y="5122273"/>
          <a:ext cx="5676900" cy="0"/>
        </a:xfrm>
        <a:prstGeom prst="rect">
          <a:avLst/>
        </a:prstGeom>
        <a:noFill/>
      </xdr:spPr>
    </xdr:pic>
    <xdr:clientData/>
  </xdr:twoCellAnchor>
  <xdr:twoCellAnchor editAs="oneCell">
    <xdr:from>
      <xdr:col>8</xdr:col>
      <xdr:colOff>9525</xdr:colOff>
      <xdr:row>30</xdr:row>
      <xdr:rowOff>114300</xdr:rowOff>
    </xdr:from>
    <xdr:to>
      <xdr:col>9</xdr:col>
      <xdr:colOff>200025</xdr:colOff>
      <xdr:row>31</xdr:row>
      <xdr:rowOff>0</xdr:rowOff>
    </xdr:to>
    <xdr:pic>
      <xdr:nvPicPr>
        <xdr:cNvPr id="10" name="Picture 4"/>
        <xdr:cNvPicPr>
          <a:picLocks noChangeAspect="1" noChangeArrowheads="1"/>
        </xdr:cNvPicPr>
      </xdr:nvPicPr>
      <xdr:blipFill>
        <a:blip xmlns:r="http://schemas.openxmlformats.org/officeDocument/2006/relationships" r:embed="rId5"/>
        <a:srcRect/>
        <a:stretch>
          <a:fillRect/>
        </a:stretch>
      </xdr:blipFill>
      <xdr:spPr bwMode="auto">
        <a:xfrm>
          <a:off x="4953000" y="6905625"/>
          <a:ext cx="1238250" cy="0"/>
        </a:xfrm>
        <a:prstGeom prst="rect">
          <a:avLst/>
        </a:prstGeom>
        <a:noFill/>
      </xdr:spPr>
    </xdr:pic>
    <xdr:clientData/>
  </xdr:twoCellAnchor>
  <xdr:twoCellAnchor editAs="oneCell">
    <xdr:from>
      <xdr:col>1</xdr:col>
      <xdr:colOff>38100</xdr:colOff>
      <xdr:row>1</xdr:row>
      <xdr:rowOff>38100</xdr:rowOff>
    </xdr:from>
    <xdr:to>
      <xdr:col>2</xdr:col>
      <xdr:colOff>57150</xdr:colOff>
      <xdr:row>1</xdr:row>
      <xdr:rowOff>38100</xdr:rowOff>
    </xdr:to>
    <xdr:pic>
      <xdr:nvPicPr>
        <xdr:cNvPr id="11" name="Imagem 10" descr="Imagem1.png"/>
        <xdr:cNvPicPr>
          <a:picLocks noChangeAspect="1"/>
        </xdr:cNvPicPr>
      </xdr:nvPicPr>
      <xdr:blipFill>
        <a:blip xmlns:r="http://schemas.openxmlformats.org/officeDocument/2006/relationships" r:embed="rId1" cstate="print"/>
        <a:stretch>
          <a:fillRect/>
        </a:stretch>
      </xdr:blipFill>
      <xdr:spPr>
        <a:xfrm>
          <a:off x="285750" y="228600"/>
          <a:ext cx="628650" cy="0"/>
        </a:xfrm>
        <a:prstGeom prst="rect">
          <a:avLst/>
        </a:prstGeom>
      </xdr:spPr>
    </xdr:pic>
    <xdr:clientData/>
  </xdr:twoCellAnchor>
  <xdr:twoCellAnchor editAs="oneCell">
    <xdr:from>
      <xdr:col>0</xdr:col>
      <xdr:colOff>219075</xdr:colOff>
      <xdr:row>1</xdr:row>
      <xdr:rowOff>38100</xdr:rowOff>
    </xdr:from>
    <xdr:to>
      <xdr:col>2</xdr:col>
      <xdr:colOff>352425</xdr:colOff>
      <xdr:row>1</xdr:row>
      <xdr:rowOff>38100</xdr:rowOff>
    </xdr:to>
    <xdr:pic>
      <xdr:nvPicPr>
        <xdr:cNvPr id="14" name="Imagem 13" descr="Imagem1.png"/>
        <xdr:cNvPicPr>
          <a:picLocks noChangeAspect="1"/>
        </xdr:cNvPicPr>
      </xdr:nvPicPr>
      <xdr:blipFill>
        <a:blip xmlns:r="http://schemas.openxmlformats.org/officeDocument/2006/relationships" r:embed="rId1" cstate="print"/>
        <a:stretch>
          <a:fillRect/>
        </a:stretch>
      </xdr:blipFill>
      <xdr:spPr>
        <a:xfrm>
          <a:off x="219075" y="228600"/>
          <a:ext cx="628650" cy="354119"/>
        </a:xfrm>
        <a:prstGeom prst="rect">
          <a:avLst/>
        </a:prstGeom>
      </xdr:spPr>
    </xdr:pic>
    <xdr:clientData/>
  </xdr:twoCellAnchor>
  <xdr:twoCellAnchor editAs="oneCell">
    <xdr:from>
      <xdr:col>1</xdr:col>
      <xdr:colOff>295275</xdr:colOff>
      <xdr:row>20</xdr:row>
      <xdr:rowOff>95250</xdr:rowOff>
    </xdr:from>
    <xdr:to>
      <xdr:col>12</xdr:col>
      <xdr:colOff>57150</xdr:colOff>
      <xdr:row>27</xdr:row>
      <xdr:rowOff>95250</xdr:rowOff>
    </xdr:to>
    <xdr:pic>
      <xdr:nvPicPr>
        <xdr:cNvPr id="7169" name="Picture 1"/>
        <xdr:cNvPicPr>
          <a:picLocks noChangeAspect="1" noChangeArrowheads="1"/>
        </xdr:cNvPicPr>
      </xdr:nvPicPr>
      <xdr:blipFill>
        <a:blip xmlns:r="http://schemas.openxmlformats.org/officeDocument/2006/relationships" r:embed="rId6" cstate="print"/>
        <a:srcRect/>
        <a:stretch>
          <a:fillRect/>
        </a:stretch>
      </xdr:blipFill>
      <xdr:spPr bwMode="auto">
        <a:xfrm>
          <a:off x="542925" y="4219575"/>
          <a:ext cx="7648575" cy="1333500"/>
        </a:xfrm>
        <a:prstGeom prst="rect">
          <a:avLst/>
        </a:prstGeom>
        <a:noFill/>
        <a:ln w="1">
          <a:noFill/>
          <a:miter lim="800000"/>
          <a:headEnd/>
          <a:tailEnd type="none" w="med" len="med"/>
        </a:ln>
        <a:effectLst/>
      </xdr:spPr>
    </xdr:pic>
    <xdr:clientData/>
  </xdr:twoCellAnchor>
  <xdr:twoCellAnchor>
    <xdr:from>
      <xdr:col>3</xdr:col>
      <xdr:colOff>247650</xdr:colOff>
      <xdr:row>19</xdr:row>
      <xdr:rowOff>19050</xdr:rowOff>
    </xdr:from>
    <xdr:to>
      <xdr:col>8</xdr:col>
      <xdr:colOff>171450</xdr:colOff>
      <xdr:row>22</xdr:row>
      <xdr:rowOff>47625</xdr:rowOff>
    </xdr:to>
    <xdr:cxnSp macro="">
      <xdr:nvCxnSpPr>
        <xdr:cNvPr id="18" name="Conector de seta reta 17"/>
        <xdr:cNvCxnSpPr/>
      </xdr:nvCxnSpPr>
      <xdr:spPr>
        <a:xfrm>
          <a:off x="1714500" y="3952875"/>
          <a:ext cx="3400425" cy="600075"/>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247650</xdr:colOff>
      <xdr:row>19</xdr:row>
      <xdr:rowOff>9525</xdr:rowOff>
    </xdr:from>
    <xdr:to>
      <xdr:col>6</xdr:col>
      <xdr:colOff>85725</xdr:colOff>
      <xdr:row>24</xdr:row>
      <xdr:rowOff>152400</xdr:rowOff>
    </xdr:to>
    <xdr:cxnSp macro="">
      <xdr:nvCxnSpPr>
        <xdr:cNvPr id="21" name="Conector de seta reta 20"/>
        <xdr:cNvCxnSpPr/>
      </xdr:nvCxnSpPr>
      <xdr:spPr>
        <a:xfrm>
          <a:off x="1714500" y="3943350"/>
          <a:ext cx="1857375" cy="1095375"/>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3</xdr:col>
      <xdr:colOff>428625</xdr:colOff>
      <xdr:row>37</xdr:row>
      <xdr:rowOff>133350</xdr:rowOff>
    </xdr:from>
    <xdr:to>
      <xdr:col>9</xdr:col>
      <xdr:colOff>133350</xdr:colOff>
      <xdr:row>44</xdr:row>
      <xdr:rowOff>133350</xdr:rowOff>
    </xdr:to>
    <xdr:pic>
      <xdr:nvPicPr>
        <xdr:cNvPr id="7171" name="Picture 3"/>
        <xdr:cNvPicPr>
          <a:picLocks noChangeAspect="1" noChangeArrowheads="1"/>
        </xdr:cNvPicPr>
      </xdr:nvPicPr>
      <xdr:blipFill>
        <a:blip xmlns:r="http://schemas.openxmlformats.org/officeDocument/2006/relationships" r:embed="rId7" cstate="print"/>
        <a:srcRect/>
        <a:stretch>
          <a:fillRect/>
        </a:stretch>
      </xdr:blipFill>
      <xdr:spPr bwMode="auto">
        <a:xfrm>
          <a:off x="1895475" y="7705725"/>
          <a:ext cx="4010025" cy="1333500"/>
        </a:xfrm>
        <a:prstGeom prst="rect">
          <a:avLst/>
        </a:prstGeom>
        <a:noFill/>
        <a:ln w="1">
          <a:noFill/>
          <a:miter lim="800000"/>
          <a:headEnd/>
          <a:tailEnd type="none" w="med" len="med"/>
        </a:ln>
        <a:effectLst/>
      </xdr:spPr>
    </xdr:pic>
    <xdr:clientData/>
  </xdr:twoCellAnchor>
  <xdr:twoCellAnchor>
    <xdr:from>
      <xdr:col>2</xdr:col>
      <xdr:colOff>304800</xdr:colOff>
      <xdr:row>38</xdr:row>
      <xdr:rowOff>161925</xdr:rowOff>
    </xdr:from>
    <xdr:to>
      <xdr:col>3</xdr:col>
      <xdr:colOff>485775</xdr:colOff>
      <xdr:row>39</xdr:row>
      <xdr:rowOff>114300</xdr:rowOff>
    </xdr:to>
    <xdr:cxnSp macro="">
      <xdr:nvCxnSpPr>
        <xdr:cNvPr id="26" name="Conector de seta reta 25"/>
        <xdr:cNvCxnSpPr/>
      </xdr:nvCxnSpPr>
      <xdr:spPr>
        <a:xfrm flipV="1">
          <a:off x="1162050" y="7924800"/>
          <a:ext cx="790575" cy="142875"/>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5</xdr:col>
      <xdr:colOff>38101</xdr:colOff>
      <xdr:row>48</xdr:row>
      <xdr:rowOff>35757</xdr:rowOff>
    </xdr:from>
    <xdr:to>
      <xdr:col>9</xdr:col>
      <xdr:colOff>723901</xdr:colOff>
      <xdr:row>63</xdr:row>
      <xdr:rowOff>180975</xdr:rowOff>
    </xdr:to>
    <xdr:pic>
      <xdr:nvPicPr>
        <xdr:cNvPr id="7172" name="Picture 4"/>
        <xdr:cNvPicPr>
          <a:picLocks noChangeAspect="1" noChangeArrowheads="1"/>
        </xdr:cNvPicPr>
      </xdr:nvPicPr>
      <xdr:blipFill>
        <a:blip xmlns:r="http://schemas.openxmlformats.org/officeDocument/2006/relationships" r:embed="rId8" cstate="print"/>
        <a:srcRect/>
        <a:stretch>
          <a:fillRect/>
        </a:stretch>
      </xdr:blipFill>
      <xdr:spPr bwMode="auto">
        <a:xfrm>
          <a:off x="2914651" y="9703632"/>
          <a:ext cx="3581400" cy="3002718"/>
        </a:xfrm>
        <a:prstGeom prst="rect">
          <a:avLst/>
        </a:prstGeom>
        <a:noFill/>
        <a:ln w="1">
          <a:noFill/>
          <a:miter lim="800000"/>
          <a:headEnd/>
          <a:tailEnd type="none" w="med" len="med"/>
        </a:ln>
        <a:effectLst/>
      </xdr:spPr>
    </xdr:pic>
    <xdr:clientData/>
  </xdr:twoCellAnchor>
  <xdr:twoCellAnchor>
    <xdr:from>
      <xdr:col>4</xdr:col>
      <xdr:colOff>104776</xdr:colOff>
      <xdr:row>48</xdr:row>
      <xdr:rowOff>28573</xdr:rowOff>
    </xdr:from>
    <xdr:to>
      <xdr:col>8</xdr:col>
      <xdr:colOff>171451</xdr:colOff>
      <xdr:row>63</xdr:row>
      <xdr:rowOff>9524</xdr:rowOff>
    </xdr:to>
    <xdr:cxnSp macro="">
      <xdr:nvCxnSpPr>
        <xdr:cNvPr id="29" name="Conector de seta reta 28"/>
        <xdr:cNvCxnSpPr/>
      </xdr:nvCxnSpPr>
      <xdr:spPr>
        <a:xfrm rot="16200000" flipH="1">
          <a:off x="2324100" y="9744074"/>
          <a:ext cx="2838451" cy="274320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4</xdr:col>
      <xdr:colOff>590550</xdr:colOff>
      <xdr:row>66</xdr:row>
      <xdr:rowOff>47556</xdr:rowOff>
    </xdr:from>
    <xdr:to>
      <xdr:col>14</xdr:col>
      <xdr:colOff>276225</xdr:colOff>
      <xdr:row>90</xdr:row>
      <xdr:rowOff>76199</xdr:rowOff>
    </xdr:to>
    <xdr:pic>
      <xdr:nvPicPr>
        <xdr:cNvPr id="7173" name="Picture 5"/>
        <xdr:cNvPicPr>
          <a:picLocks noChangeAspect="1" noChangeArrowheads="1"/>
        </xdr:cNvPicPr>
      </xdr:nvPicPr>
      <xdr:blipFill>
        <a:blip xmlns:r="http://schemas.openxmlformats.org/officeDocument/2006/relationships" r:embed="rId9" cstate="print"/>
        <a:srcRect/>
        <a:stretch>
          <a:fillRect/>
        </a:stretch>
      </xdr:blipFill>
      <xdr:spPr bwMode="auto">
        <a:xfrm>
          <a:off x="2857500" y="13144431"/>
          <a:ext cx="6772275" cy="4600643"/>
        </a:xfrm>
        <a:prstGeom prst="rect">
          <a:avLst/>
        </a:prstGeom>
        <a:noFill/>
        <a:ln w="1">
          <a:noFill/>
          <a:miter lim="800000"/>
          <a:headEnd/>
          <a:tailEnd type="none" w="med" len="med"/>
        </a:ln>
        <a:effectLst/>
      </xdr:spPr>
    </xdr:pic>
    <xdr:clientData/>
  </xdr:twoCellAnchor>
  <xdr:twoCellAnchor>
    <xdr:from>
      <xdr:col>3</xdr:col>
      <xdr:colOff>47625</xdr:colOff>
      <xdr:row>67</xdr:row>
      <xdr:rowOff>95250</xdr:rowOff>
    </xdr:from>
    <xdr:to>
      <xdr:col>5</xdr:col>
      <xdr:colOff>66678</xdr:colOff>
      <xdr:row>72</xdr:row>
      <xdr:rowOff>57153</xdr:rowOff>
    </xdr:to>
    <xdr:cxnSp macro="">
      <xdr:nvCxnSpPr>
        <xdr:cNvPr id="35" name="Conector de seta reta 34"/>
        <xdr:cNvCxnSpPr/>
      </xdr:nvCxnSpPr>
      <xdr:spPr>
        <a:xfrm>
          <a:off x="1514475" y="13382625"/>
          <a:ext cx="1428753" cy="914403"/>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38100</xdr:colOff>
      <xdr:row>67</xdr:row>
      <xdr:rowOff>95250</xdr:rowOff>
    </xdr:from>
    <xdr:to>
      <xdr:col>7</xdr:col>
      <xdr:colOff>361950</xdr:colOff>
      <xdr:row>79</xdr:row>
      <xdr:rowOff>142875</xdr:rowOff>
    </xdr:to>
    <xdr:cxnSp macro="">
      <xdr:nvCxnSpPr>
        <xdr:cNvPr id="37" name="Conector de seta reta 36"/>
        <xdr:cNvCxnSpPr/>
      </xdr:nvCxnSpPr>
      <xdr:spPr>
        <a:xfrm>
          <a:off x="1504950" y="13382625"/>
          <a:ext cx="2952750" cy="2333625"/>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0006223" refreshedDate="41019.79529548611" createdVersion="3" refreshedVersion="3" minRefreshableVersion="3" recordCount="9">
  <cacheSource type="worksheet">
    <worksheetSource ref="B35:F44" sheet="Tabela dinamica"/>
  </cacheSource>
  <cacheFields count="5">
    <cacheField name="Auditor" numFmtId="0">
      <sharedItems/>
    </cacheField>
    <cacheField name="Solicitação" numFmtId="0">
      <sharedItems count="9">
        <s v="S-87548998"/>
        <s v="S-87679949"/>
        <s v="S-87672446"/>
        <s v="S-86025094"/>
        <s v="S-85246679"/>
        <s v="S-87858945"/>
        <s v="S-86390612"/>
        <s v="S-87050851"/>
        <s v="S-85855610"/>
      </sharedItems>
    </cacheField>
    <cacheField name="Documento" numFmtId="0">
      <sharedItems containsSemiMixedTypes="0" containsString="0" containsNumber="1" containsInteger="1" minValue="4172832610" maxValue="91139066153" count="9">
        <n v="6952214933"/>
        <n v="11290307768"/>
        <n v="34697625897"/>
        <n v="26669129300"/>
        <n v="21892938804"/>
        <n v="69906505168"/>
        <n v="91139066153"/>
        <n v="12654094472"/>
        <n v="4172832610"/>
      </sharedItems>
    </cacheField>
    <cacheField name="Protocolo Atendimento" numFmtId="0">
      <sharedItems/>
    </cacheField>
    <cacheField name="Nota" numFmtId="0">
      <sharedItems containsSemiMixedTypes="0" containsString="0" containsNumber="1" containsInteger="1" minValue="0" maxValue="100" count="8">
        <n v="100"/>
        <n v="89"/>
        <n v="99"/>
        <n v="0"/>
        <n v="87"/>
        <n v="88"/>
        <n v="85"/>
        <n v="7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
  <r>
    <s v="João Menezes"/>
    <x v="0"/>
    <x v="0"/>
    <s v="14012012-0141022"/>
    <x v="0"/>
  </r>
  <r>
    <s v="João Menezes"/>
    <x v="1"/>
    <x v="1"/>
    <s v="16012012-0083139"/>
    <x v="1"/>
  </r>
  <r>
    <s v="João Menezes"/>
    <x v="2"/>
    <x v="2"/>
    <s v="16012012-0070957"/>
    <x v="2"/>
  </r>
  <r>
    <s v="João Menezes"/>
    <x v="3"/>
    <x v="3"/>
    <s v="05012012-0274241"/>
    <x v="0"/>
  </r>
  <r>
    <s v="João Menezes"/>
    <x v="4"/>
    <x v="4"/>
    <s v="02012012-0001291"/>
    <x v="3"/>
  </r>
  <r>
    <s v="João Menezes"/>
    <x v="5"/>
    <x v="5"/>
    <s v="16012012-0361255"/>
    <x v="4"/>
  </r>
  <r>
    <s v="João Menezes"/>
    <x v="6"/>
    <x v="6"/>
    <s v="08012012-0066345"/>
    <x v="5"/>
  </r>
  <r>
    <s v="João Menezes"/>
    <x v="7"/>
    <x v="7"/>
    <s v="11012012-0345966"/>
    <x v="6"/>
  </r>
  <r>
    <s v="João Menezes"/>
    <x v="8"/>
    <x v="8"/>
    <s v="04012012-030933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1" cacheId="0" applyNumberFormats="0" applyBorderFormats="0" applyFontFormats="0" applyPatternFormats="0" applyAlignmentFormats="0" applyWidthHeightFormats="1" dataCaption="Valores" updatedVersion="3" minRefreshableVersion="3" showCalcMbrs="0" useAutoFormatting="1" itemPrintTitles="1" createdVersion="3" indent="0" compact="0" compactData="0" gridDropZones="1" multipleFieldFilters="0">
  <location ref="J37:K48" firstHeaderRow="2" firstDataRow="2" firstDataCol="1"/>
  <pivotFields count="5">
    <pivotField compact="0" outline="0" showAll="0"/>
    <pivotField axis="axisRow" compact="0" outline="0" showAll="0">
      <items count="10">
        <item x="4"/>
        <item x="8"/>
        <item x="3"/>
        <item x="6"/>
        <item x="7"/>
        <item x="0"/>
        <item x="2"/>
        <item x="1"/>
        <item x="5"/>
        <item t="default"/>
      </items>
    </pivotField>
    <pivotField compact="0" outline="0" showAll="0">
      <items count="10">
        <item x="8"/>
        <item x="0"/>
        <item x="1"/>
        <item x="7"/>
        <item x="4"/>
        <item x="3"/>
        <item x="2"/>
        <item x="5"/>
        <item x="6"/>
        <item t="default"/>
      </items>
    </pivotField>
    <pivotField compact="0" outline="0" showAll="0"/>
    <pivotField dataField="1" compact="0" outline="0" showAll="0">
      <items count="9">
        <item x="3"/>
        <item x="7"/>
        <item x="6"/>
        <item x="4"/>
        <item x="5"/>
        <item x="1"/>
        <item x="2"/>
        <item x="0"/>
        <item t="default"/>
      </items>
    </pivotField>
  </pivotFields>
  <rowFields count="1">
    <field x="1"/>
  </rowFields>
  <rowItems count="10">
    <i>
      <x/>
    </i>
    <i>
      <x v="1"/>
    </i>
    <i>
      <x v="2"/>
    </i>
    <i>
      <x v="3"/>
    </i>
    <i>
      <x v="4"/>
    </i>
    <i>
      <x v="5"/>
    </i>
    <i>
      <x v="6"/>
    </i>
    <i>
      <x v="7"/>
    </i>
    <i>
      <x v="8"/>
    </i>
    <i t="grand">
      <x/>
    </i>
  </rowItems>
  <colItems count="1">
    <i/>
  </colItems>
  <dataFields count="1">
    <dataField name="Média de Nota" fld="4" subtotal="average"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sheetPr codeName="Plan1"/>
  <dimension ref="A1:T44"/>
  <sheetViews>
    <sheetView showGridLines="0" showRowColHeaders="0" tabSelected="1" zoomScale="90" zoomScaleNormal="90" workbookViewId="0"/>
  </sheetViews>
  <sheetFormatPr defaultColWidth="0" defaultRowHeight="14.4" zeroHeight="1"/>
  <cols>
    <col min="1" max="1" width="3.6640625" style="171" customWidth="1"/>
    <col min="2" max="20" width="9.109375" style="171" customWidth="1"/>
    <col min="21" max="16384" width="9.109375" style="171" hidden="1"/>
  </cols>
  <sheetData>
    <row r="1" spans="2:14"/>
    <row r="2" spans="2:14"/>
    <row r="3" spans="2:14"/>
    <row r="4" spans="2:14"/>
    <row r="5" spans="2:14"/>
    <row r="6" spans="2:14">
      <c r="B6" s="172" t="s">
        <v>135</v>
      </c>
      <c r="L6" s="173" t="s">
        <v>351</v>
      </c>
      <c r="M6" s="174"/>
      <c r="N6" s="174" t="s">
        <v>352</v>
      </c>
    </row>
    <row r="7" spans="2:14">
      <c r="C7" s="175"/>
      <c r="D7" s="175"/>
      <c r="E7" s="175"/>
      <c r="F7" s="175"/>
      <c r="G7" s="175"/>
      <c r="H7" s="175"/>
      <c r="I7" s="175"/>
      <c r="J7" s="175"/>
      <c r="K7" s="175"/>
      <c r="M7" s="176"/>
    </row>
    <row r="8" spans="2:14">
      <c r="C8" s="177"/>
      <c r="D8" s="175"/>
      <c r="E8" s="178"/>
      <c r="F8" s="175"/>
      <c r="G8" s="178"/>
      <c r="H8" s="175"/>
      <c r="I8" s="175"/>
      <c r="J8" s="178"/>
      <c r="K8" s="175"/>
      <c r="M8" s="179"/>
    </row>
    <row r="9" spans="2:14">
      <c r="C9" s="177"/>
      <c r="D9" s="175"/>
      <c r="E9" s="178"/>
      <c r="F9" s="175"/>
      <c r="G9" s="178"/>
      <c r="H9" s="175"/>
      <c r="I9" s="175"/>
      <c r="J9" s="178"/>
      <c r="K9" s="175"/>
    </row>
    <row r="10" spans="2:14">
      <c r="C10" s="177"/>
      <c r="D10" s="175"/>
      <c r="E10" s="178"/>
      <c r="F10" s="175"/>
      <c r="G10" s="178"/>
      <c r="H10" s="175"/>
      <c r="I10" s="175"/>
      <c r="J10" s="178"/>
      <c r="K10" s="175"/>
    </row>
    <row r="11" spans="2:14">
      <c r="C11" s="175"/>
      <c r="D11" s="175"/>
      <c r="E11" s="175"/>
      <c r="F11" s="175"/>
      <c r="G11" s="175"/>
      <c r="H11" s="175"/>
      <c r="I11" s="175"/>
      <c r="J11" s="175"/>
      <c r="K11" s="175"/>
    </row>
    <row r="12" spans="2:14">
      <c r="C12" s="175"/>
      <c r="D12" s="175"/>
      <c r="E12" s="175"/>
      <c r="F12" s="175"/>
      <c r="G12" s="175"/>
      <c r="H12" s="175"/>
      <c r="I12" s="175"/>
      <c r="J12" s="175"/>
      <c r="K12" s="175"/>
    </row>
    <row r="13" spans="2:14">
      <c r="C13" s="177"/>
      <c r="D13" s="175"/>
      <c r="E13" s="177"/>
      <c r="F13" s="175"/>
      <c r="G13" s="175"/>
      <c r="H13" s="175"/>
      <c r="I13" s="175"/>
      <c r="J13" s="175"/>
      <c r="K13" s="175"/>
    </row>
    <row r="14" spans="2:14">
      <c r="C14" s="178"/>
      <c r="D14" s="175"/>
      <c r="E14" s="178"/>
      <c r="F14" s="175"/>
      <c r="G14" s="175"/>
      <c r="H14" s="175"/>
      <c r="I14" s="175"/>
      <c r="J14" s="175"/>
      <c r="K14" s="175"/>
    </row>
    <row r="15" spans="2:14">
      <c r="C15" s="178"/>
      <c r="D15" s="175"/>
      <c r="E15" s="178"/>
      <c r="F15" s="175"/>
      <c r="G15" s="175"/>
      <c r="H15" s="175"/>
      <c r="I15" s="175"/>
      <c r="J15" s="175"/>
      <c r="K15" s="175"/>
    </row>
    <row r="16" spans="2:14">
      <c r="C16" s="175"/>
      <c r="D16" s="175"/>
      <c r="E16" s="175"/>
      <c r="F16" s="175"/>
      <c r="G16" s="175"/>
      <c r="H16" s="175"/>
      <c r="I16" s="175"/>
      <c r="J16" s="175"/>
      <c r="K16" s="175"/>
    </row>
    <row r="17" spans="12:14"/>
    <row r="18" spans="12:14"/>
    <row r="19" spans="12:14"/>
    <row r="20" spans="12:14"/>
    <row r="21" spans="12:14"/>
    <row r="22" spans="12:14">
      <c r="L22" s="180" t="s">
        <v>353</v>
      </c>
      <c r="M22" s="180" t="s">
        <v>354</v>
      </c>
      <c r="N22" s="181"/>
    </row>
    <row r="23" spans="12:14">
      <c r="L23" s="180" t="s">
        <v>355</v>
      </c>
      <c r="M23" s="180" t="s">
        <v>356</v>
      </c>
      <c r="N23" s="180"/>
    </row>
    <row r="24" spans="12:14"/>
    <row r="25" spans="12:14"/>
    <row r="26" spans="12:14"/>
    <row r="27" spans="12:14"/>
    <row r="28" spans="12:14"/>
    <row r="29" spans="12:14"/>
    <row r="30" spans="12:14"/>
    <row r="31" spans="12:14"/>
    <row r="32" spans="12:14"/>
    <row r="33"/>
    <row r="34"/>
    <row r="35"/>
    <row r="36"/>
    <row r="37"/>
    <row r="38"/>
    <row r="39"/>
    <row r="40"/>
    <row r="41"/>
    <row r="42"/>
    <row r="43"/>
    <row r="44"/>
  </sheetData>
  <sheetProtection password="8376" sheet="1" objects="1" scenarios="1" selectLockedCells="1"/>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sheetPr codeName="Plan2"/>
  <dimension ref="B6:O44"/>
  <sheetViews>
    <sheetView showGridLines="0" showRowColHeaders="0" topLeftCell="F1" workbookViewId="0">
      <selection activeCell="J6" sqref="J6"/>
    </sheetView>
  </sheetViews>
  <sheetFormatPr defaultRowHeight="14.4"/>
  <cols>
    <col min="1" max="1" width="3.6640625" customWidth="1"/>
    <col min="2" max="2" width="13.33203125" customWidth="1"/>
    <col min="3" max="3" width="10.6640625" bestFit="1" customWidth="1"/>
    <col min="4" max="4" width="12" bestFit="1" customWidth="1"/>
    <col min="5" max="5" width="22.33203125" bestFit="1" customWidth="1"/>
    <col min="6" max="6" width="5.33203125" bestFit="1" customWidth="1"/>
    <col min="7" max="8" width="15.88671875" bestFit="1" customWidth="1"/>
  </cols>
  <sheetData>
    <row r="6" spans="2:15" ht="23.4">
      <c r="B6" s="6" t="s">
        <v>1</v>
      </c>
    </row>
    <row r="7" spans="2:15" ht="15" customHeight="1">
      <c r="L7" s="2"/>
      <c r="M7" s="2"/>
      <c r="N7" s="2"/>
      <c r="O7" s="2"/>
    </row>
    <row r="8" spans="2:15">
      <c r="B8" s="125" t="s">
        <v>3</v>
      </c>
      <c r="C8" s="125"/>
      <c r="D8" s="125"/>
      <c r="E8" s="125"/>
      <c r="F8" s="125"/>
      <c r="G8" s="125"/>
      <c r="H8" s="125"/>
      <c r="I8" s="125"/>
      <c r="J8" s="125"/>
      <c r="K8" s="125"/>
      <c r="L8" s="2"/>
      <c r="M8" s="2"/>
      <c r="N8" s="2"/>
      <c r="O8" s="2"/>
    </row>
    <row r="9" spans="2:15" ht="15" customHeight="1">
      <c r="B9" s="125"/>
      <c r="C9" s="125"/>
      <c r="D9" s="125"/>
      <c r="E9" s="125"/>
      <c r="F9" s="125"/>
      <c r="G9" s="125"/>
      <c r="H9" s="125"/>
      <c r="I9" s="125"/>
      <c r="J9" s="125"/>
      <c r="K9" s="125"/>
    </row>
    <row r="11" spans="2:15" ht="21">
      <c r="B11" s="5" t="s">
        <v>4</v>
      </c>
    </row>
    <row r="13" spans="2:15">
      <c r="B13" s="1" t="s">
        <v>189</v>
      </c>
    </row>
    <row r="14" spans="2:15">
      <c r="B14" s="1" t="s">
        <v>5</v>
      </c>
    </row>
    <row r="15" spans="2:15">
      <c r="B15" s="1" t="s">
        <v>6</v>
      </c>
    </row>
    <row r="19" spans="2:14" ht="21">
      <c r="B19" s="5" t="s">
        <v>67</v>
      </c>
    </row>
    <row r="20" spans="2:14">
      <c r="B20" s="3" t="s">
        <v>68</v>
      </c>
    </row>
    <row r="22" spans="2:14" ht="21">
      <c r="B22" s="5" t="s">
        <v>69</v>
      </c>
    </row>
    <row r="23" spans="2:14">
      <c r="B23" s="4" t="s">
        <v>70</v>
      </c>
    </row>
    <row r="26" spans="2:14">
      <c r="B26" s="1" t="s">
        <v>7</v>
      </c>
    </row>
    <row r="27" spans="2:14">
      <c r="B27" s="15" t="s">
        <v>8</v>
      </c>
      <c r="C27" s="15" t="s">
        <v>9</v>
      </c>
      <c r="D27" s="15" t="s">
        <v>10</v>
      </c>
      <c r="E27" s="15" t="s">
        <v>11</v>
      </c>
      <c r="F27" s="15" t="s">
        <v>66</v>
      </c>
      <c r="G27" s="15" t="s">
        <v>12</v>
      </c>
      <c r="H27" s="15" t="s">
        <v>13</v>
      </c>
      <c r="I27" s="15" t="s">
        <v>14</v>
      </c>
      <c r="J27" s="15" t="s">
        <v>15</v>
      </c>
      <c r="K27" s="15" t="s">
        <v>16</v>
      </c>
      <c r="L27" s="15" t="s">
        <v>17</v>
      </c>
      <c r="M27" s="15" t="s">
        <v>18</v>
      </c>
      <c r="N27" s="15" t="s">
        <v>19</v>
      </c>
    </row>
    <row r="28" spans="2:14">
      <c r="B28" s="16" t="s">
        <v>20</v>
      </c>
      <c r="C28" s="16" t="s">
        <v>21</v>
      </c>
      <c r="D28" s="16">
        <v>6952214933</v>
      </c>
      <c r="E28" s="16" t="s">
        <v>22</v>
      </c>
      <c r="F28" s="14">
        <v>100</v>
      </c>
      <c r="G28" s="20">
        <v>40922.767581018517</v>
      </c>
      <c r="H28" s="20">
        <v>40923.638078703705</v>
      </c>
      <c r="I28" s="16" t="s">
        <v>23</v>
      </c>
      <c r="J28" s="16" t="s">
        <v>24</v>
      </c>
      <c r="K28" s="16" t="s">
        <v>25</v>
      </c>
      <c r="L28" s="16"/>
      <c r="M28" s="16" t="s">
        <v>26</v>
      </c>
      <c r="N28" s="16"/>
    </row>
    <row r="29" spans="2:14">
      <c r="B29" s="16" t="s">
        <v>20</v>
      </c>
      <c r="C29" s="16" t="s">
        <v>27</v>
      </c>
      <c r="D29" s="16">
        <v>11290307768</v>
      </c>
      <c r="E29" s="16" t="s">
        <v>28</v>
      </c>
      <c r="F29" s="14">
        <v>89</v>
      </c>
      <c r="G29" s="20">
        <v>40924.474386574075</v>
      </c>
      <c r="H29" s="20">
        <v>40925.759641203702</v>
      </c>
      <c r="I29" s="16" t="s">
        <v>23</v>
      </c>
      <c r="J29" s="16" t="s">
        <v>24</v>
      </c>
      <c r="K29" s="16" t="s">
        <v>29</v>
      </c>
      <c r="L29" s="16"/>
      <c r="M29" s="16" t="s">
        <v>26</v>
      </c>
      <c r="N29" s="16"/>
    </row>
    <row r="30" spans="2:14">
      <c r="B30" s="16" t="s">
        <v>20</v>
      </c>
      <c r="C30" s="16" t="s">
        <v>30</v>
      </c>
      <c r="D30" s="16">
        <v>34697625897</v>
      </c>
      <c r="E30" s="16" t="s">
        <v>31</v>
      </c>
      <c r="F30" s="14">
        <v>99</v>
      </c>
      <c r="G30" s="20">
        <v>40924.458564814813</v>
      </c>
      <c r="H30" s="20">
        <v>40925.415752314817</v>
      </c>
      <c r="I30" s="16" t="s">
        <v>23</v>
      </c>
      <c r="J30" s="16" t="s">
        <v>24</v>
      </c>
      <c r="K30" s="16" t="s">
        <v>32</v>
      </c>
      <c r="L30" s="16"/>
      <c r="M30" s="16" t="s">
        <v>26</v>
      </c>
      <c r="N30" s="16"/>
    </row>
    <row r="31" spans="2:14">
      <c r="B31" s="16" t="s">
        <v>20</v>
      </c>
      <c r="C31" s="16" t="s">
        <v>33</v>
      </c>
      <c r="D31" s="16">
        <v>26669129300</v>
      </c>
      <c r="E31" s="16" t="s">
        <v>34</v>
      </c>
      <c r="F31" s="14">
        <v>100</v>
      </c>
      <c r="G31" s="20">
        <v>40913.826747685183</v>
      </c>
      <c r="H31" s="20">
        <v>40913.994849537034</v>
      </c>
      <c r="I31" s="16" t="s">
        <v>23</v>
      </c>
      <c r="J31" s="16" t="s">
        <v>24</v>
      </c>
      <c r="K31" s="16" t="s">
        <v>35</v>
      </c>
      <c r="L31" s="16"/>
      <c r="M31" s="16" t="s">
        <v>26</v>
      </c>
      <c r="N31" s="16"/>
    </row>
    <row r="32" spans="2:14">
      <c r="B32" s="16" t="s">
        <v>20</v>
      </c>
      <c r="C32" s="16" t="s">
        <v>36</v>
      </c>
      <c r="D32" s="16">
        <v>21892938804</v>
      </c>
      <c r="E32" s="16" t="s">
        <v>37</v>
      </c>
      <c r="F32" s="14">
        <v>0</v>
      </c>
      <c r="G32" s="20">
        <v>40910.151493055557</v>
      </c>
      <c r="H32" s="20">
        <v>40910.730752314812</v>
      </c>
      <c r="I32" s="16" t="s">
        <v>23</v>
      </c>
      <c r="J32" s="16" t="s">
        <v>24</v>
      </c>
      <c r="K32" s="16" t="s">
        <v>38</v>
      </c>
      <c r="L32" s="16"/>
      <c r="M32" s="16" t="s">
        <v>26</v>
      </c>
      <c r="N32" s="16"/>
    </row>
    <row r="33" spans="2:14">
      <c r="B33" s="16" t="s">
        <v>20</v>
      </c>
      <c r="C33" s="16" t="s">
        <v>39</v>
      </c>
      <c r="D33" s="16">
        <v>69906505168</v>
      </c>
      <c r="E33" s="16" t="s">
        <v>40</v>
      </c>
      <c r="F33" s="14">
        <v>87</v>
      </c>
      <c r="G33" s="20">
        <v>40924.985625000001</v>
      </c>
      <c r="H33" s="20">
        <v>40925.882638888892</v>
      </c>
      <c r="I33" s="16" t="s">
        <v>23</v>
      </c>
      <c r="J33" s="16" t="s">
        <v>24</v>
      </c>
      <c r="K33" s="16" t="s">
        <v>35</v>
      </c>
      <c r="L33" s="16"/>
      <c r="M33" s="16" t="s">
        <v>26</v>
      </c>
      <c r="N33" s="16"/>
    </row>
    <row r="34" spans="2:14">
      <c r="B34" s="16" t="s">
        <v>20</v>
      </c>
      <c r="C34" s="16" t="s">
        <v>41</v>
      </c>
      <c r="D34" s="16">
        <v>91139066153</v>
      </c>
      <c r="E34" s="16" t="s">
        <v>42</v>
      </c>
      <c r="F34" s="14">
        <v>88</v>
      </c>
      <c r="G34" s="20">
        <v>40916.910532407404</v>
      </c>
      <c r="H34" s="20">
        <v>40917.708148148151</v>
      </c>
      <c r="I34" s="16" t="s">
        <v>23</v>
      </c>
      <c r="J34" s="16" t="s">
        <v>24</v>
      </c>
      <c r="K34" s="16" t="s">
        <v>35</v>
      </c>
      <c r="L34" s="16"/>
      <c r="M34" s="16" t="s">
        <v>26</v>
      </c>
      <c r="N34" s="16"/>
    </row>
    <row r="35" spans="2:14">
      <c r="B35" s="16" t="s">
        <v>20</v>
      </c>
      <c r="C35" s="16" t="s">
        <v>43</v>
      </c>
      <c r="D35" s="16">
        <v>12654094472</v>
      </c>
      <c r="E35" s="16" t="s">
        <v>44</v>
      </c>
      <c r="F35" s="14">
        <v>85</v>
      </c>
      <c r="G35" s="20">
        <v>40919.875416666669</v>
      </c>
      <c r="H35" s="20">
        <v>40920.645046296297</v>
      </c>
      <c r="I35" s="16" t="s">
        <v>23</v>
      </c>
      <c r="J35" s="16" t="s">
        <v>24</v>
      </c>
      <c r="K35" s="16" t="s">
        <v>35</v>
      </c>
      <c r="L35" s="16"/>
      <c r="M35" s="16" t="s">
        <v>26</v>
      </c>
      <c r="N35" s="16"/>
    </row>
    <row r="36" spans="2:14">
      <c r="B36" s="16" t="s">
        <v>20</v>
      </c>
      <c r="C36" s="16" t="s">
        <v>45</v>
      </c>
      <c r="D36" s="16">
        <v>4172832610</v>
      </c>
      <c r="E36" s="16" t="s">
        <v>46</v>
      </c>
      <c r="F36" s="14">
        <v>70</v>
      </c>
      <c r="G36" s="20">
        <v>40912.929537037038</v>
      </c>
      <c r="H36" s="20">
        <v>40913.617835648147</v>
      </c>
      <c r="I36" s="16" t="s">
        <v>23</v>
      </c>
      <c r="J36" s="16" t="s">
        <v>24</v>
      </c>
      <c r="K36" s="16" t="s">
        <v>47</v>
      </c>
      <c r="L36" s="16"/>
      <c r="M36" s="16" t="s">
        <v>26</v>
      </c>
      <c r="N36" s="16"/>
    </row>
    <row r="37" spans="2:14">
      <c r="B37" s="16" t="s">
        <v>20</v>
      </c>
      <c r="C37" s="16" t="s">
        <v>48</v>
      </c>
      <c r="D37" s="16">
        <v>39979369</v>
      </c>
      <c r="E37" s="16" t="s">
        <v>49</v>
      </c>
      <c r="F37" s="14">
        <v>69</v>
      </c>
      <c r="G37" s="20">
        <v>40917.561666666668</v>
      </c>
      <c r="H37" s="20">
        <v>40918.88789351852</v>
      </c>
      <c r="I37" s="16" t="s">
        <v>23</v>
      </c>
      <c r="J37" s="16" t="s">
        <v>24</v>
      </c>
      <c r="K37" s="16" t="s">
        <v>50</v>
      </c>
      <c r="L37" s="16"/>
      <c r="M37" s="16" t="s">
        <v>26</v>
      </c>
      <c r="N37" s="16"/>
    </row>
    <row r="38" spans="2:14">
      <c r="B38" s="16" t="s">
        <v>20</v>
      </c>
      <c r="C38" s="16" t="s">
        <v>51</v>
      </c>
      <c r="D38" s="16">
        <v>56645015968</v>
      </c>
      <c r="E38" s="16" t="s">
        <v>52</v>
      </c>
      <c r="F38" s="14">
        <v>100</v>
      </c>
      <c r="G38" s="20">
        <v>40922.402997685182</v>
      </c>
      <c r="H38" s="20">
        <v>40923.373738425929</v>
      </c>
      <c r="I38" s="16" t="s">
        <v>23</v>
      </c>
      <c r="J38" s="16" t="s">
        <v>24</v>
      </c>
      <c r="K38" s="16" t="s">
        <v>35</v>
      </c>
      <c r="L38" s="16"/>
      <c r="M38" s="16" t="s">
        <v>26</v>
      </c>
      <c r="N38" s="16"/>
    </row>
    <row r="39" spans="2:14">
      <c r="B39" s="16" t="s">
        <v>20</v>
      </c>
      <c r="C39" s="16" t="s">
        <v>53</v>
      </c>
      <c r="D39" s="16">
        <v>30747449287</v>
      </c>
      <c r="E39" s="16" t="s">
        <v>54</v>
      </c>
      <c r="F39" s="14">
        <v>0</v>
      </c>
      <c r="G39" s="20">
        <v>40914.447615740741</v>
      </c>
      <c r="H39" s="20">
        <v>40917.455127314817</v>
      </c>
      <c r="I39" s="16" t="s">
        <v>23</v>
      </c>
      <c r="J39" s="16" t="s">
        <v>24</v>
      </c>
      <c r="K39" s="16" t="s">
        <v>55</v>
      </c>
      <c r="L39" s="16"/>
      <c r="M39" s="16" t="s">
        <v>26</v>
      </c>
      <c r="N39" s="16"/>
    </row>
    <row r="40" spans="2:14">
      <c r="B40" s="16" t="s">
        <v>20</v>
      </c>
      <c r="C40" s="16" t="s">
        <v>56</v>
      </c>
      <c r="D40" s="16">
        <v>377945587</v>
      </c>
      <c r="E40" s="16" t="s">
        <v>57</v>
      </c>
      <c r="F40" s="14">
        <v>100</v>
      </c>
      <c r="G40" s="20">
        <v>40926.370810185188</v>
      </c>
      <c r="H40" s="16"/>
      <c r="I40" s="16" t="s">
        <v>23</v>
      </c>
      <c r="J40" s="16" t="s">
        <v>24</v>
      </c>
      <c r="K40" s="16" t="s">
        <v>50</v>
      </c>
      <c r="L40" s="16"/>
      <c r="M40" s="16" t="s">
        <v>26</v>
      </c>
      <c r="N40" s="16"/>
    </row>
    <row r="41" spans="2:14">
      <c r="B41" s="16" t="s">
        <v>20</v>
      </c>
      <c r="C41" s="16" t="s">
        <v>58</v>
      </c>
      <c r="D41" s="16">
        <v>56006187604</v>
      </c>
      <c r="E41" s="16" t="s">
        <v>59</v>
      </c>
      <c r="F41" s="14">
        <v>90</v>
      </c>
      <c r="G41" s="20">
        <v>40913.578888888886</v>
      </c>
      <c r="H41" s="20">
        <v>40914.432060185187</v>
      </c>
      <c r="I41" s="16" t="s">
        <v>23</v>
      </c>
      <c r="J41" s="16" t="s">
        <v>24</v>
      </c>
      <c r="K41" s="16" t="s">
        <v>50</v>
      </c>
      <c r="L41" s="16"/>
      <c r="M41" s="16" t="s">
        <v>26</v>
      </c>
      <c r="N41" s="16"/>
    </row>
    <row r="42" spans="2:14">
      <c r="B42" s="16" t="s">
        <v>20</v>
      </c>
      <c r="C42" s="16" t="s">
        <v>60</v>
      </c>
      <c r="D42" s="16">
        <v>17111854934</v>
      </c>
      <c r="E42" s="16" t="s">
        <v>61</v>
      </c>
      <c r="F42" s="14">
        <v>93</v>
      </c>
      <c r="G42" s="20">
        <v>40924.362395833334</v>
      </c>
      <c r="H42" s="20">
        <v>40924.595601851855</v>
      </c>
      <c r="I42" s="16" t="s">
        <v>23</v>
      </c>
      <c r="J42" s="16" t="s">
        <v>24</v>
      </c>
      <c r="K42" s="16" t="s">
        <v>25</v>
      </c>
      <c r="L42" s="16"/>
      <c r="M42" s="16" t="s">
        <v>26</v>
      </c>
      <c r="N42" s="16"/>
    </row>
    <row r="43" spans="2:14">
      <c r="B43" s="16" t="s">
        <v>20</v>
      </c>
      <c r="C43" s="16" t="s">
        <v>62</v>
      </c>
      <c r="D43" s="16">
        <v>4964046605</v>
      </c>
      <c r="E43" s="16" t="s">
        <v>63</v>
      </c>
      <c r="F43" s="14">
        <v>82</v>
      </c>
      <c r="G43" s="20">
        <v>40925.464247685188</v>
      </c>
      <c r="H43" s="20">
        <v>40925.465648148151</v>
      </c>
      <c r="I43" s="16" t="s">
        <v>23</v>
      </c>
      <c r="J43" s="16" t="s">
        <v>24</v>
      </c>
      <c r="K43" s="16" t="s">
        <v>25</v>
      </c>
      <c r="L43" s="16"/>
      <c r="M43" s="16" t="s">
        <v>26</v>
      </c>
      <c r="N43" s="16"/>
    </row>
    <row r="44" spans="2:14">
      <c r="B44" s="16" t="s">
        <v>20</v>
      </c>
      <c r="C44" s="16" t="s">
        <v>64</v>
      </c>
      <c r="D44" s="16">
        <v>31646670949</v>
      </c>
      <c r="E44" s="16" t="s">
        <v>65</v>
      </c>
      <c r="F44" s="14">
        <v>80</v>
      </c>
      <c r="G44" s="20">
        <v>40912.896932870368</v>
      </c>
      <c r="H44" s="20">
        <v>40913.790185185186</v>
      </c>
      <c r="I44" s="16" t="s">
        <v>23</v>
      </c>
      <c r="J44" s="16" t="s">
        <v>24</v>
      </c>
      <c r="K44" s="16" t="s">
        <v>35</v>
      </c>
      <c r="L44" s="16"/>
      <c r="M44" s="16" t="s">
        <v>26</v>
      </c>
      <c r="N44" s="16"/>
    </row>
  </sheetData>
  <autoFilter ref="B27:N44"/>
  <sortState ref="B3:B20">
    <sortCondition ref="B3"/>
  </sortState>
  <mergeCells count="1">
    <mergeCell ref="B8:K9"/>
  </mergeCell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sheetPr codeName="Plan3"/>
  <dimension ref="B6:K31"/>
  <sheetViews>
    <sheetView showGridLines="0" showRowColHeaders="0" topLeftCell="G1" workbookViewId="0"/>
  </sheetViews>
  <sheetFormatPr defaultRowHeight="14.4"/>
  <cols>
    <col min="1" max="1" width="3.6640625" customWidth="1"/>
  </cols>
  <sheetData>
    <row r="6" spans="2:11" ht="23.4">
      <c r="B6" s="6" t="s">
        <v>2</v>
      </c>
    </row>
    <row r="8" spans="2:11">
      <c r="B8" s="125" t="s">
        <v>71</v>
      </c>
      <c r="C8" s="125"/>
      <c r="D8" s="125"/>
      <c r="E8" s="125"/>
      <c r="F8" s="125"/>
      <c r="G8" s="125"/>
      <c r="H8" s="125"/>
      <c r="I8" s="125"/>
      <c r="J8" s="125"/>
      <c r="K8" s="125"/>
    </row>
    <row r="9" spans="2:11">
      <c r="B9" s="125"/>
      <c r="C9" s="125"/>
      <c r="D9" s="125"/>
      <c r="E9" s="125"/>
      <c r="F9" s="125"/>
      <c r="G9" s="125"/>
      <c r="H9" s="125"/>
      <c r="I9" s="125"/>
      <c r="J9" s="125"/>
      <c r="K9" s="125"/>
    </row>
    <row r="11" spans="2:11" ht="23.4">
      <c r="B11" s="7" t="s">
        <v>72</v>
      </c>
    </row>
    <row r="13" spans="2:11">
      <c r="B13" s="1" t="s">
        <v>73</v>
      </c>
    </row>
    <row r="16" spans="2:11">
      <c r="B16" s="1" t="s">
        <v>7</v>
      </c>
    </row>
    <row r="17" spans="2:10">
      <c r="B17" s="26" t="s">
        <v>74</v>
      </c>
      <c r="C17" s="27" t="s">
        <v>80</v>
      </c>
      <c r="D17" s="27" t="s">
        <v>0</v>
      </c>
      <c r="F17" s="11" t="s">
        <v>82</v>
      </c>
      <c r="H17" s="126" t="s">
        <v>88</v>
      </c>
      <c r="I17" s="126"/>
      <c r="J17" s="126"/>
    </row>
    <row r="18" spans="2:10">
      <c r="B18" s="21" t="s">
        <v>75</v>
      </c>
      <c r="C18" s="22">
        <v>3500</v>
      </c>
      <c r="D18" s="23">
        <f>C18/$C$23</f>
        <v>0.21511985248924401</v>
      </c>
      <c r="F18" s="10" t="s">
        <v>83</v>
      </c>
    </row>
    <row r="19" spans="2:10">
      <c r="B19" s="21" t="s">
        <v>76</v>
      </c>
      <c r="C19" s="22">
        <v>2470</v>
      </c>
      <c r="D19" s="23">
        <f t="shared" ref="D19:D23" si="0">C19/$C$23</f>
        <v>0.15181315304240933</v>
      </c>
      <c r="F19" s="10" t="s">
        <v>84</v>
      </c>
    </row>
    <row r="20" spans="2:10">
      <c r="B20" s="21" t="s">
        <v>77</v>
      </c>
      <c r="C20" s="22">
        <v>3200</v>
      </c>
      <c r="D20" s="23">
        <f t="shared" si="0"/>
        <v>0.19668100799016594</v>
      </c>
      <c r="F20" s="10" t="s">
        <v>85</v>
      </c>
    </row>
    <row r="21" spans="2:10">
      <c r="B21" s="21" t="s">
        <v>78</v>
      </c>
      <c r="C21" s="22">
        <v>4100</v>
      </c>
      <c r="D21" s="23">
        <f t="shared" si="0"/>
        <v>0.25199754148740011</v>
      </c>
      <c r="F21" s="10" t="s">
        <v>86</v>
      </c>
    </row>
    <row r="22" spans="2:10">
      <c r="B22" s="21" t="s">
        <v>79</v>
      </c>
      <c r="C22" s="22">
        <v>3000</v>
      </c>
      <c r="D22" s="23">
        <f t="shared" si="0"/>
        <v>0.18438844499078058</v>
      </c>
      <c r="F22" s="10" t="s">
        <v>87</v>
      </c>
    </row>
    <row r="23" spans="2:10">
      <c r="B23" s="24" t="s">
        <v>81</v>
      </c>
      <c r="C23" s="25">
        <f>SUM(C18:C22)</f>
        <v>16270</v>
      </c>
      <c r="D23" s="23">
        <f t="shared" si="0"/>
        <v>1</v>
      </c>
    </row>
    <row r="24" spans="2:10">
      <c r="J24" s="1" t="s">
        <v>187</v>
      </c>
    </row>
    <row r="26" spans="2:10" ht="21">
      <c r="E26" s="1" t="s">
        <v>89</v>
      </c>
    </row>
    <row r="31" spans="2:10">
      <c r="J31" s="1" t="s">
        <v>188</v>
      </c>
    </row>
  </sheetData>
  <mergeCells count="2">
    <mergeCell ref="B8:K9"/>
    <mergeCell ref="H17:J17"/>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sheetPr codeName="Plan4"/>
  <dimension ref="B7:M56"/>
  <sheetViews>
    <sheetView showGridLines="0" showRowColHeaders="0" topLeftCell="F1" workbookViewId="0">
      <selection activeCell="G31" sqref="G31"/>
    </sheetView>
  </sheetViews>
  <sheetFormatPr defaultRowHeight="14.4"/>
  <cols>
    <col min="1" max="1" width="3.6640625" customWidth="1"/>
  </cols>
  <sheetData>
    <row r="7" spans="2:13" ht="23.4">
      <c r="B7" s="6" t="s">
        <v>90</v>
      </c>
    </row>
    <row r="9" spans="2:13" ht="15" customHeight="1">
      <c r="B9" s="127" t="s">
        <v>134</v>
      </c>
      <c r="C9" s="127"/>
      <c r="D9" s="127"/>
      <c r="E9" s="127"/>
      <c r="F9" s="127"/>
      <c r="G9" s="127"/>
      <c r="H9" s="127"/>
      <c r="I9" s="127"/>
      <c r="J9" s="127"/>
      <c r="K9" s="127"/>
      <c r="L9" s="127"/>
      <c r="M9" s="127"/>
    </row>
    <row r="10" spans="2:13">
      <c r="B10" s="127"/>
      <c r="C10" s="127"/>
      <c r="D10" s="127"/>
      <c r="E10" s="127"/>
      <c r="F10" s="127"/>
      <c r="G10" s="127"/>
      <c r="H10" s="127"/>
      <c r="I10" s="127"/>
      <c r="J10" s="127"/>
      <c r="K10" s="127"/>
      <c r="L10" s="127"/>
      <c r="M10" s="127"/>
    </row>
    <row r="11" spans="2:13">
      <c r="B11" s="127"/>
      <c r="C11" s="127"/>
      <c r="D11" s="127"/>
      <c r="E11" s="127"/>
      <c r="F11" s="127"/>
      <c r="G11" s="127"/>
      <c r="H11" s="127"/>
      <c r="I11" s="127"/>
      <c r="J11" s="127"/>
      <c r="K11" s="127"/>
      <c r="L11" s="127"/>
      <c r="M11" s="127"/>
    </row>
    <row r="12" spans="2:13">
      <c r="B12" s="127"/>
      <c r="C12" s="127"/>
      <c r="D12" s="127"/>
      <c r="E12" s="127"/>
      <c r="F12" s="127"/>
      <c r="G12" s="127"/>
      <c r="H12" s="127"/>
      <c r="I12" s="127"/>
      <c r="J12" s="127"/>
      <c r="K12" s="127"/>
      <c r="L12" s="127"/>
      <c r="M12" s="127"/>
    </row>
    <row r="13" spans="2:13">
      <c r="B13" s="4" t="s">
        <v>121</v>
      </c>
    </row>
    <row r="15" spans="2:13" ht="23.4">
      <c r="B15" s="7" t="s">
        <v>69</v>
      </c>
    </row>
    <row r="17" spans="2:12">
      <c r="B17" s="4" t="s">
        <v>129</v>
      </c>
      <c r="H17" s="28" t="s">
        <v>131</v>
      </c>
    </row>
    <row r="18" spans="2:12">
      <c r="B18" s="4" t="s">
        <v>130</v>
      </c>
      <c r="J18" s="28" t="s">
        <v>132</v>
      </c>
    </row>
    <row r="19" spans="2:12">
      <c r="B19" s="4" t="s">
        <v>133</v>
      </c>
    </row>
    <row r="21" spans="2:12" ht="23.4">
      <c r="B21" s="7" t="s">
        <v>72</v>
      </c>
    </row>
    <row r="23" spans="2:12">
      <c r="B23" s="1" t="s">
        <v>7</v>
      </c>
    </row>
    <row r="24" spans="2:12">
      <c r="B24" s="1"/>
    </row>
    <row r="25" spans="2:12">
      <c r="B25" s="12" t="s">
        <v>92</v>
      </c>
    </row>
    <row r="28" spans="2:12">
      <c r="B28" s="15" t="s">
        <v>14</v>
      </c>
      <c r="C28" s="15" t="s">
        <v>15</v>
      </c>
      <c r="D28" s="15" t="s">
        <v>16</v>
      </c>
      <c r="G28" s="128" t="s">
        <v>91</v>
      </c>
      <c r="H28" s="128"/>
      <c r="I28" s="128"/>
      <c r="L28" s="1" t="s">
        <v>82</v>
      </c>
    </row>
    <row r="29" spans="2:12">
      <c r="B29" s="16" t="s">
        <v>23</v>
      </c>
      <c r="C29" s="16" t="s">
        <v>24</v>
      </c>
      <c r="D29" s="16" t="s">
        <v>25</v>
      </c>
      <c r="G29" s="19" t="str">
        <f>CONCATENATE(B29,"/",C29,"/",D29)</f>
        <v>Defeito/TV../Tela Branca - loading Page</v>
      </c>
      <c r="H29" s="9"/>
      <c r="I29" s="9"/>
      <c r="L29" s="8" t="s">
        <v>93</v>
      </c>
    </row>
    <row r="30" spans="2:12">
      <c r="B30" s="16" t="s">
        <v>23</v>
      </c>
      <c r="C30" s="16" t="s">
        <v>24</v>
      </c>
      <c r="D30" s="16" t="s">
        <v>29</v>
      </c>
      <c r="G30" s="18" t="str">
        <f t="shared" ref="G30:G38" si="0">CONCATENATE(B30,"/",C30,"/",D30)</f>
        <v>Defeito/TV../Não aceita checklist</v>
      </c>
      <c r="L30" s="8" t="s">
        <v>94</v>
      </c>
    </row>
    <row r="31" spans="2:12">
      <c r="B31" s="16" t="s">
        <v>23</v>
      </c>
      <c r="C31" s="16" t="s">
        <v>24</v>
      </c>
      <c r="D31" s="16" t="s">
        <v>32</v>
      </c>
      <c r="G31" s="18" t="str">
        <f t="shared" si="0"/>
        <v>Defeito/TV../Erro de sintonia - 385</v>
      </c>
      <c r="L31" s="8" t="s">
        <v>95</v>
      </c>
    </row>
    <row r="32" spans="2:12">
      <c r="B32" s="16" t="s">
        <v>23</v>
      </c>
      <c r="C32" s="16" t="s">
        <v>24</v>
      </c>
      <c r="D32" s="16" t="s">
        <v>35</v>
      </c>
      <c r="G32" s="18" t="str">
        <f t="shared" si="0"/>
        <v>Defeito/TV../Sem Sinal DTH</v>
      </c>
      <c r="L32" s="8" t="s">
        <v>96</v>
      </c>
    </row>
    <row r="33" spans="2:12">
      <c r="B33" s="16" t="s">
        <v>23</v>
      </c>
      <c r="C33" s="16" t="s">
        <v>24</v>
      </c>
      <c r="D33" s="16" t="s">
        <v>38</v>
      </c>
      <c r="G33" s="18" t="str">
        <f t="shared" si="0"/>
        <v>Defeito/TV../Sem sinal</v>
      </c>
      <c r="L33" s="8" t="s">
        <v>97</v>
      </c>
    </row>
    <row r="34" spans="2:12">
      <c r="B34" s="16" t="s">
        <v>23</v>
      </c>
      <c r="C34" s="16" t="s">
        <v>24</v>
      </c>
      <c r="D34" s="16" t="s">
        <v>35</v>
      </c>
      <c r="G34" s="18" t="str">
        <f t="shared" si="0"/>
        <v>Defeito/TV../Sem Sinal DTH</v>
      </c>
      <c r="L34" s="8" t="s">
        <v>98</v>
      </c>
    </row>
    <row r="35" spans="2:12">
      <c r="B35" s="16" t="s">
        <v>23</v>
      </c>
      <c r="C35" s="16" t="s">
        <v>24</v>
      </c>
      <c r="D35" s="16" t="s">
        <v>35</v>
      </c>
      <c r="G35" s="18" t="str">
        <f t="shared" si="0"/>
        <v>Defeito/TV../Sem Sinal DTH</v>
      </c>
      <c r="L35" s="8" t="s">
        <v>99</v>
      </c>
    </row>
    <row r="36" spans="2:12">
      <c r="B36" s="16" t="s">
        <v>23</v>
      </c>
      <c r="C36" s="16" t="s">
        <v>24</v>
      </c>
      <c r="D36" s="16" t="s">
        <v>35</v>
      </c>
      <c r="G36" s="18" t="str">
        <f t="shared" si="0"/>
        <v>Defeito/TV../Sem Sinal DTH</v>
      </c>
      <c r="L36" s="8" t="s">
        <v>100</v>
      </c>
    </row>
    <row r="37" spans="2:12">
      <c r="B37" s="16" t="s">
        <v>23</v>
      </c>
      <c r="C37" s="16" t="s">
        <v>24</v>
      </c>
      <c r="D37" s="16" t="s">
        <v>47</v>
      </c>
      <c r="G37" s="18" t="str">
        <f t="shared" si="0"/>
        <v>Defeito/TV../Sem sinal DTT</v>
      </c>
      <c r="L37" s="8" t="s">
        <v>101</v>
      </c>
    </row>
    <row r="38" spans="2:12">
      <c r="B38" s="16" t="s">
        <v>23</v>
      </c>
      <c r="C38" s="16" t="s">
        <v>24</v>
      </c>
      <c r="D38" s="16" t="s">
        <v>50</v>
      </c>
      <c r="G38" s="18" t="str">
        <f t="shared" si="0"/>
        <v>Defeito/TV../Falha na imagem</v>
      </c>
      <c r="L38" s="8" t="s">
        <v>102</v>
      </c>
    </row>
    <row r="41" spans="2:12">
      <c r="B41" s="1" t="s">
        <v>103</v>
      </c>
    </row>
    <row r="42" spans="2:12">
      <c r="B42" s="15" t="s">
        <v>105</v>
      </c>
      <c r="C42" s="15" t="s">
        <v>106</v>
      </c>
      <c r="G42" s="128" t="s">
        <v>91</v>
      </c>
      <c r="H42" s="128"/>
      <c r="I42" s="128"/>
      <c r="L42" s="1" t="s">
        <v>82</v>
      </c>
    </row>
    <row r="43" spans="2:12">
      <c r="B43" s="16" t="s">
        <v>104</v>
      </c>
      <c r="C43" s="16" t="s">
        <v>107</v>
      </c>
      <c r="G43" s="17" t="str">
        <f>CONCATENATE(B43," ",C43)</f>
        <v>Jorge Monteiro</v>
      </c>
      <c r="L43" s="8" t="s">
        <v>116</v>
      </c>
    </row>
    <row r="44" spans="2:12">
      <c r="B44" s="16" t="s">
        <v>108</v>
      </c>
      <c r="C44" s="16" t="s">
        <v>109</v>
      </c>
      <c r="G44" s="16" t="str">
        <f t="shared" ref="G44:G47" si="1">CONCATENATE(B44," ",C44)</f>
        <v>Fábio Rolim</v>
      </c>
      <c r="L44" s="8" t="s">
        <v>117</v>
      </c>
    </row>
    <row r="45" spans="2:12">
      <c r="B45" s="16" t="s">
        <v>110</v>
      </c>
      <c r="C45" s="16" t="s">
        <v>111</v>
      </c>
      <c r="G45" s="16" t="str">
        <f t="shared" si="1"/>
        <v>João Carlos</v>
      </c>
      <c r="L45" s="8" t="s">
        <v>118</v>
      </c>
    </row>
    <row r="46" spans="2:12">
      <c r="B46" s="16" t="s">
        <v>112</v>
      </c>
      <c r="C46" s="16" t="s">
        <v>113</v>
      </c>
      <c r="G46" s="16" t="str">
        <f t="shared" si="1"/>
        <v>Alessandra Menezes</v>
      </c>
      <c r="L46" s="8" t="s">
        <v>119</v>
      </c>
    </row>
    <row r="47" spans="2:12">
      <c r="B47" s="16" t="s">
        <v>114</v>
      </c>
      <c r="C47" s="16" t="s">
        <v>115</v>
      </c>
      <c r="G47" s="16" t="str">
        <f t="shared" si="1"/>
        <v>Janaina Lanna</v>
      </c>
      <c r="L47" s="8" t="s">
        <v>120</v>
      </c>
    </row>
    <row r="50" spans="2:12">
      <c r="B50" s="1" t="s">
        <v>103</v>
      </c>
    </row>
    <row r="51" spans="2:12">
      <c r="B51" s="15" t="s">
        <v>122</v>
      </c>
      <c r="C51" s="13"/>
      <c r="G51" s="128" t="s">
        <v>91</v>
      </c>
      <c r="H51" s="128"/>
      <c r="I51" s="128"/>
      <c r="L51" s="1" t="s">
        <v>82</v>
      </c>
    </row>
    <row r="52" spans="2:12" ht="15" thickBot="1">
      <c r="B52" s="14">
        <v>6223</v>
      </c>
      <c r="G52" s="17" t="str">
        <f>CONCATENATE("G000",B52)</f>
        <v>G0006223</v>
      </c>
      <c r="L52" s="8" t="s">
        <v>124</v>
      </c>
    </row>
    <row r="53" spans="2:12" ht="15" customHeight="1">
      <c r="B53" s="14">
        <v>1239</v>
      </c>
      <c r="D53" s="129" t="s">
        <v>123</v>
      </c>
      <c r="E53" s="130"/>
      <c r="G53" s="16" t="str">
        <f t="shared" ref="G53:G56" si="2">CONCATENATE("G000",B53)</f>
        <v>G0001239</v>
      </c>
      <c r="L53" s="8" t="s">
        <v>125</v>
      </c>
    </row>
    <row r="54" spans="2:12">
      <c r="B54" s="14">
        <v>7092</v>
      </c>
      <c r="D54" s="131"/>
      <c r="E54" s="132"/>
      <c r="G54" s="16" t="str">
        <f t="shared" si="2"/>
        <v>G0007092</v>
      </c>
      <c r="L54" s="8" t="s">
        <v>126</v>
      </c>
    </row>
    <row r="55" spans="2:12">
      <c r="B55" s="14">
        <v>9888</v>
      </c>
      <c r="D55" s="131"/>
      <c r="E55" s="132"/>
      <c r="G55" s="16" t="str">
        <f t="shared" si="2"/>
        <v>G0009888</v>
      </c>
      <c r="L55" s="8" t="s">
        <v>127</v>
      </c>
    </row>
    <row r="56" spans="2:12" ht="15" thickBot="1">
      <c r="B56" s="14">
        <v>6354</v>
      </c>
      <c r="D56" s="133"/>
      <c r="E56" s="134"/>
      <c r="G56" s="16" t="str">
        <f t="shared" si="2"/>
        <v>G0006354</v>
      </c>
      <c r="L56" s="8" t="s">
        <v>128</v>
      </c>
    </row>
  </sheetData>
  <mergeCells count="5">
    <mergeCell ref="B9:M12"/>
    <mergeCell ref="G28:I28"/>
    <mergeCell ref="G42:I42"/>
    <mergeCell ref="D53:E56"/>
    <mergeCell ref="G51:I51"/>
  </mergeCell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dimension ref="B7:O76"/>
  <sheetViews>
    <sheetView showGridLines="0" showRowColHeaders="0" topLeftCell="F1" workbookViewId="0"/>
  </sheetViews>
  <sheetFormatPr defaultRowHeight="14.4"/>
  <cols>
    <col min="1" max="1" width="3.6640625" customWidth="1"/>
    <col min="4" max="4" width="12" bestFit="1" customWidth="1"/>
    <col min="10" max="10" width="13" customWidth="1"/>
    <col min="11" max="11" width="15.33203125" customWidth="1"/>
  </cols>
  <sheetData>
    <row r="7" spans="2:13" ht="23.4">
      <c r="B7" s="6" t="s">
        <v>136</v>
      </c>
    </row>
    <row r="9" spans="2:13" ht="15" customHeight="1">
      <c r="B9" s="127" t="s">
        <v>190</v>
      </c>
      <c r="C9" s="127"/>
      <c r="D9" s="127"/>
      <c r="E9" s="127"/>
      <c r="F9" s="127"/>
      <c r="G9" s="127"/>
      <c r="H9" s="127"/>
      <c r="I9" s="127"/>
      <c r="J9" s="127"/>
      <c r="K9" s="127"/>
      <c r="L9" s="127"/>
      <c r="M9" s="127"/>
    </row>
    <row r="10" spans="2:13">
      <c r="B10" s="127"/>
      <c r="C10" s="127"/>
      <c r="D10" s="127"/>
      <c r="E10" s="127"/>
      <c r="F10" s="127"/>
      <c r="G10" s="127"/>
      <c r="H10" s="127"/>
      <c r="I10" s="127"/>
      <c r="J10" s="127"/>
      <c r="K10" s="127"/>
      <c r="L10" s="127"/>
      <c r="M10" s="127"/>
    </row>
    <row r="11" spans="2:13">
      <c r="B11" s="127"/>
      <c r="C11" s="127"/>
      <c r="D11" s="127"/>
      <c r="E11" s="127"/>
      <c r="F11" s="127"/>
      <c r="G11" s="127"/>
      <c r="H11" s="127"/>
      <c r="I11" s="127"/>
      <c r="J11" s="127"/>
      <c r="K11" s="127"/>
      <c r="L11" s="127"/>
      <c r="M11" s="127"/>
    </row>
    <row r="12" spans="2:13">
      <c r="B12" s="127"/>
      <c r="C12" s="127"/>
      <c r="D12" s="127"/>
      <c r="E12" s="127"/>
      <c r="F12" s="127"/>
      <c r="G12" s="127"/>
      <c r="H12" s="127"/>
      <c r="I12" s="127"/>
      <c r="J12" s="127"/>
      <c r="K12" s="127"/>
      <c r="L12" s="127"/>
      <c r="M12" s="127"/>
    </row>
    <row r="13" spans="2:13">
      <c r="B13" s="4"/>
    </row>
    <row r="15" spans="2:13" ht="23.4">
      <c r="B15" s="7" t="s">
        <v>67</v>
      </c>
    </row>
    <row r="17" spans="2:10">
      <c r="B17" s="3" t="s">
        <v>137</v>
      </c>
      <c r="H17" s="28"/>
    </row>
    <row r="18" spans="2:10">
      <c r="B18" s="4"/>
      <c r="C18" s="29" t="s">
        <v>148</v>
      </c>
      <c r="J18" s="28"/>
    </row>
    <row r="19" spans="2:10">
      <c r="B19" s="4"/>
      <c r="C19" s="29" t="s">
        <v>191</v>
      </c>
    </row>
    <row r="20" spans="2:10">
      <c r="B20" s="4"/>
      <c r="C20" s="29"/>
    </row>
    <row r="21" spans="2:10">
      <c r="B21" s="4"/>
      <c r="C21" s="29"/>
    </row>
    <row r="22" spans="2:10" ht="23.4">
      <c r="B22" s="7" t="s">
        <v>149</v>
      </c>
      <c r="C22" s="29"/>
    </row>
    <row r="24" spans="2:10">
      <c r="B24" s="4"/>
      <c r="C24" s="4" t="s">
        <v>147</v>
      </c>
    </row>
    <row r="25" spans="2:10">
      <c r="C25" s="4" t="s">
        <v>146</v>
      </c>
    </row>
    <row r="26" spans="2:10">
      <c r="C26" s="29"/>
    </row>
    <row r="27" spans="2:10" ht="23.4">
      <c r="B27" s="7" t="s">
        <v>72</v>
      </c>
    </row>
    <row r="29" spans="2:10">
      <c r="B29" s="1" t="s">
        <v>7</v>
      </c>
    </row>
    <row r="30" spans="2:10">
      <c r="B30" s="1"/>
    </row>
    <row r="31" spans="2:10">
      <c r="B31" s="12" t="s">
        <v>138</v>
      </c>
    </row>
    <row r="34" spans="2:15">
      <c r="B34" s="15" t="s">
        <v>8</v>
      </c>
      <c r="C34" s="15" t="s">
        <v>9</v>
      </c>
      <c r="D34" s="15" t="s">
        <v>10</v>
      </c>
      <c r="E34" s="15" t="s">
        <v>11</v>
      </c>
      <c r="F34" s="15" t="s">
        <v>66</v>
      </c>
      <c r="G34" s="30"/>
      <c r="H34" s="30"/>
      <c r="I34" s="30"/>
      <c r="J34" s="39" t="s">
        <v>9</v>
      </c>
      <c r="K34" s="39" t="s">
        <v>10</v>
      </c>
      <c r="L34" s="27" t="s">
        <v>66</v>
      </c>
      <c r="M34" s="31"/>
      <c r="N34" s="31"/>
      <c r="O34" s="31"/>
    </row>
    <row r="35" spans="2:15">
      <c r="B35" s="16" t="s">
        <v>20</v>
      </c>
      <c r="C35" s="16" t="s">
        <v>21</v>
      </c>
      <c r="D35" s="16">
        <v>6952214933</v>
      </c>
      <c r="E35" s="16" t="s">
        <v>22</v>
      </c>
      <c r="F35" s="14">
        <v>100</v>
      </c>
      <c r="G35" s="33"/>
      <c r="H35" s="34"/>
      <c r="I35" s="34"/>
      <c r="J35" s="38" t="s">
        <v>33</v>
      </c>
      <c r="K35" s="36">
        <f>VLOOKUP(J35,C35:F51,2,0)</f>
        <v>26669129300</v>
      </c>
      <c r="L35" s="37">
        <f>VLOOKUP(J35,C35:F51,4,0)</f>
        <v>100</v>
      </c>
      <c r="M35" s="31"/>
      <c r="N35" s="31"/>
      <c r="O35" s="31"/>
    </row>
    <row r="36" spans="2:15">
      <c r="B36" s="16" t="s">
        <v>20</v>
      </c>
      <c r="C36" s="16" t="s">
        <v>27</v>
      </c>
      <c r="D36" s="16">
        <v>11290307768</v>
      </c>
      <c r="E36" s="16" t="s">
        <v>28</v>
      </c>
      <c r="F36" s="14">
        <v>89</v>
      </c>
      <c r="G36" s="33"/>
      <c r="H36" s="31"/>
      <c r="I36" s="31"/>
      <c r="J36" s="31"/>
      <c r="K36" s="31"/>
      <c r="L36" s="35"/>
      <c r="M36" s="31"/>
      <c r="N36" s="31"/>
      <c r="O36" s="31"/>
    </row>
    <row r="37" spans="2:15">
      <c r="B37" s="16" t="s">
        <v>20</v>
      </c>
      <c r="C37" s="16" t="s">
        <v>30</v>
      </c>
      <c r="D37" s="16">
        <v>34697625897</v>
      </c>
      <c r="E37" s="16" t="s">
        <v>31</v>
      </c>
      <c r="F37" s="14">
        <v>99</v>
      </c>
      <c r="G37" s="33"/>
      <c r="H37" s="31"/>
      <c r="I37" s="31"/>
      <c r="J37" s="31"/>
      <c r="K37" s="31"/>
      <c r="L37" s="35"/>
      <c r="M37" s="31"/>
      <c r="N37" s="31"/>
      <c r="O37" s="31"/>
    </row>
    <row r="38" spans="2:15">
      <c r="B38" s="16" t="s">
        <v>20</v>
      </c>
      <c r="C38" s="16" t="s">
        <v>33</v>
      </c>
      <c r="D38" s="16">
        <v>26669129300</v>
      </c>
      <c r="E38" s="16" t="s">
        <v>34</v>
      </c>
      <c r="F38" s="14">
        <v>100</v>
      </c>
      <c r="G38" s="33"/>
      <c r="H38" s="31"/>
      <c r="I38" s="31"/>
      <c r="J38" s="31"/>
      <c r="K38" s="31"/>
      <c r="L38" s="35"/>
      <c r="M38" s="31"/>
      <c r="N38" s="31"/>
      <c r="O38" s="31"/>
    </row>
    <row r="39" spans="2:15">
      <c r="B39" s="16" t="s">
        <v>20</v>
      </c>
      <c r="C39" s="16" t="s">
        <v>36</v>
      </c>
      <c r="D39" s="16">
        <v>21892938804</v>
      </c>
      <c r="E39" s="16" t="s">
        <v>37</v>
      </c>
      <c r="F39" s="14">
        <v>0</v>
      </c>
      <c r="G39" s="33"/>
      <c r="H39" s="135" t="s">
        <v>139</v>
      </c>
      <c r="I39" s="135"/>
      <c r="J39" s="31"/>
      <c r="K39" s="31"/>
      <c r="L39" s="35"/>
      <c r="M39" s="31"/>
      <c r="N39" s="31"/>
      <c r="O39" s="31"/>
    </row>
    <row r="40" spans="2:15">
      <c r="B40" s="16" t="s">
        <v>20</v>
      </c>
      <c r="C40" s="16" t="s">
        <v>39</v>
      </c>
      <c r="D40" s="16">
        <v>69906505168</v>
      </c>
      <c r="E40" s="16" t="s">
        <v>40</v>
      </c>
      <c r="F40" s="14">
        <v>87</v>
      </c>
      <c r="G40" s="33"/>
      <c r="H40" s="135"/>
      <c r="I40" s="135"/>
      <c r="J40" s="31"/>
      <c r="K40" s="31"/>
      <c r="L40" s="35"/>
      <c r="M40" s="31"/>
      <c r="N40" s="31"/>
      <c r="O40" s="31"/>
    </row>
    <row r="41" spans="2:15">
      <c r="B41" s="16" t="s">
        <v>20</v>
      </c>
      <c r="C41" s="16" t="s">
        <v>41</v>
      </c>
      <c r="D41" s="16">
        <v>91139066153</v>
      </c>
      <c r="E41" s="16" t="s">
        <v>42</v>
      </c>
      <c r="F41" s="14">
        <v>88</v>
      </c>
      <c r="G41" s="33"/>
      <c r="H41" s="31"/>
      <c r="I41" s="31"/>
      <c r="J41" s="31"/>
      <c r="K41" s="31"/>
      <c r="L41" s="35"/>
      <c r="M41" s="31"/>
      <c r="N41" s="31"/>
      <c r="O41" s="31"/>
    </row>
    <row r="42" spans="2:15">
      <c r="B42" s="16" t="s">
        <v>20</v>
      </c>
      <c r="C42" s="16" t="s">
        <v>43</v>
      </c>
      <c r="D42" s="16">
        <v>12654094472</v>
      </c>
      <c r="E42" s="16" t="s">
        <v>44</v>
      </c>
      <c r="F42" s="14">
        <v>85</v>
      </c>
      <c r="G42" s="33"/>
      <c r="H42" s="31"/>
      <c r="I42" s="31"/>
      <c r="J42" s="31"/>
      <c r="K42" s="31"/>
      <c r="L42" s="35"/>
      <c r="M42" s="31"/>
      <c r="N42" s="31"/>
      <c r="O42" s="31"/>
    </row>
    <row r="43" spans="2:15">
      <c r="B43" s="16" t="s">
        <v>20</v>
      </c>
      <c r="C43" s="16" t="s">
        <v>45</v>
      </c>
      <c r="D43" s="16">
        <v>4172832610</v>
      </c>
      <c r="E43" s="16" t="s">
        <v>46</v>
      </c>
      <c r="F43" s="14">
        <v>70</v>
      </c>
      <c r="G43" s="33"/>
      <c r="H43" s="32" t="s">
        <v>140</v>
      </c>
      <c r="I43" s="31"/>
      <c r="J43" s="31"/>
      <c r="K43" s="31"/>
      <c r="L43" s="35"/>
      <c r="M43" s="31"/>
      <c r="N43" s="31"/>
      <c r="O43" s="31"/>
    </row>
    <row r="44" spans="2:15">
      <c r="B44" s="16" t="s">
        <v>20</v>
      </c>
      <c r="C44" s="16" t="s">
        <v>48</v>
      </c>
      <c r="D44" s="16">
        <v>39979369</v>
      </c>
      <c r="E44" s="16" t="s">
        <v>49</v>
      </c>
      <c r="F44" s="14">
        <v>69</v>
      </c>
      <c r="G44" s="33"/>
      <c r="H44" s="31"/>
      <c r="I44" s="31"/>
      <c r="J44" s="31"/>
      <c r="K44" s="31"/>
      <c r="L44" s="35"/>
      <c r="M44" s="31"/>
      <c r="N44" s="31"/>
      <c r="O44" s="31"/>
    </row>
    <row r="45" spans="2:15" ht="18">
      <c r="B45" s="16" t="s">
        <v>20</v>
      </c>
      <c r="C45" s="16" t="s">
        <v>51</v>
      </c>
      <c r="D45" s="16">
        <v>56645015968</v>
      </c>
      <c r="E45" s="16" t="s">
        <v>52</v>
      </c>
      <c r="F45" s="14">
        <v>100</v>
      </c>
      <c r="G45" s="31"/>
      <c r="H45" s="31"/>
      <c r="I45" s="31"/>
      <c r="J45" s="40" t="s">
        <v>141</v>
      </c>
      <c r="K45" s="31"/>
      <c r="L45" s="31"/>
      <c r="M45" s="31"/>
      <c r="N45" s="31"/>
      <c r="O45" s="31"/>
    </row>
    <row r="46" spans="2:15">
      <c r="B46" s="16" t="s">
        <v>20</v>
      </c>
      <c r="C46" s="16" t="s">
        <v>53</v>
      </c>
      <c r="D46" s="16">
        <v>30747449287</v>
      </c>
      <c r="E46" s="16" t="s">
        <v>54</v>
      </c>
      <c r="F46" s="14">
        <v>0</v>
      </c>
      <c r="G46" s="31"/>
      <c r="H46" s="31"/>
      <c r="I46" s="31"/>
      <c r="J46" s="31"/>
      <c r="K46" s="31"/>
      <c r="L46" s="31"/>
      <c r="M46" s="31"/>
      <c r="N46" s="31"/>
      <c r="O46" s="31"/>
    </row>
    <row r="47" spans="2:15">
      <c r="B47" s="16" t="s">
        <v>20</v>
      </c>
      <c r="C47" s="16" t="s">
        <v>56</v>
      </c>
      <c r="D47" s="16">
        <v>377945587</v>
      </c>
      <c r="E47" s="16" t="s">
        <v>57</v>
      </c>
      <c r="F47" s="14">
        <v>100</v>
      </c>
      <c r="G47" s="31"/>
      <c r="H47" s="31"/>
      <c r="I47" s="31"/>
      <c r="J47" s="31"/>
      <c r="K47" s="31"/>
      <c r="L47" s="31"/>
      <c r="M47" s="31"/>
      <c r="N47" s="31"/>
      <c r="O47" s="31"/>
    </row>
    <row r="48" spans="2:15">
      <c r="B48" s="16" t="s">
        <v>20</v>
      </c>
      <c r="C48" s="16" t="s">
        <v>58</v>
      </c>
      <c r="D48" s="16">
        <v>56006187604</v>
      </c>
      <c r="E48" s="16" t="s">
        <v>59</v>
      </c>
      <c r="F48" s="14">
        <v>90</v>
      </c>
      <c r="G48" s="30"/>
      <c r="H48" s="30"/>
      <c r="I48" s="30"/>
      <c r="J48" s="41" t="s">
        <v>142</v>
      </c>
      <c r="K48" s="31"/>
      <c r="L48" s="32"/>
      <c r="M48" s="31"/>
      <c r="N48" s="31"/>
      <c r="O48" s="31"/>
    </row>
    <row r="49" spans="2:15">
      <c r="B49" s="16" t="s">
        <v>20</v>
      </c>
      <c r="C49" s="16" t="s">
        <v>60</v>
      </c>
      <c r="D49" s="16">
        <v>17111854934</v>
      </c>
      <c r="E49" s="16" t="s">
        <v>61</v>
      </c>
      <c r="F49" s="14">
        <v>93</v>
      </c>
      <c r="G49" s="31"/>
      <c r="H49" s="31"/>
      <c r="I49" s="31"/>
      <c r="J49" s="42" t="s">
        <v>143</v>
      </c>
      <c r="L49" s="35"/>
      <c r="M49" s="31"/>
      <c r="N49" s="31"/>
      <c r="O49" s="31"/>
    </row>
    <row r="50" spans="2:15">
      <c r="B50" s="16" t="s">
        <v>20</v>
      </c>
      <c r="C50" s="16" t="s">
        <v>62</v>
      </c>
      <c r="D50" s="16">
        <v>4964046605</v>
      </c>
      <c r="E50" s="16" t="s">
        <v>63</v>
      </c>
      <c r="F50" s="14">
        <v>82</v>
      </c>
      <c r="G50" s="31"/>
      <c r="H50" s="31"/>
      <c r="I50" s="31"/>
      <c r="J50" s="43" t="s">
        <v>144</v>
      </c>
      <c r="K50" s="31"/>
      <c r="L50" s="35"/>
      <c r="M50" s="31"/>
      <c r="N50" s="31"/>
      <c r="O50" s="31"/>
    </row>
    <row r="51" spans="2:15">
      <c r="B51" s="16" t="s">
        <v>20</v>
      </c>
      <c r="C51" s="16" t="s">
        <v>64</v>
      </c>
      <c r="D51" s="16">
        <v>31646670949</v>
      </c>
      <c r="E51" s="16" t="s">
        <v>65</v>
      </c>
      <c r="F51" s="14">
        <v>80</v>
      </c>
      <c r="G51" s="31"/>
      <c r="H51" s="31"/>
      <c r="I51" s="31"/>
      <c r="J51" s="44" t="s">
        <v>145</v>
      </c>
      <c r="K51" s="31"/>
      <c r="L51" s="35"/>
      <c r="M51" s="31"/>
      <c r="N51" s="31"/>
      <c r="O51" s="31"/>
    </row>
    <row r="52" spans="2:15">
      <c r="B52" s="31"/>
      <c r="C52" s="31"/>
      <c r="D52" s="31"/>
      <c r="G52" s="31"/>
      <c r="H52" s="31"/>
      <c r="I52" s="31"/>
      <c r="J52" s="31"/>
      <c r="K52" s="31"/>
      <c r="L52" s="35"/>
      <c r="M52" s="31"/>
      <c r="N52" s="31"/>
      <c r="O52" s="31"/>
    </row>
    <row r="53" spans="2:15">
      <c r="B53" s="31"/>
      <c r="C53" s="31"/>
      <c r="D53" s="31"/>
      <c r="G53" s="31"/>
      <c r="H53" s="31"/>
      <c r="I53" s="31"/>
      <c r="J53" s="31"/>
      <c r="K53" s="31"/>
      <c r="L53" s="35"/>
      <c r="M53" s="31"/>
      <c r="N53" s="31"/>
      <c r="O53" s="31"/>
    </row>
    <row r="55" spans="2:15">
      <c r="B55" s="1" t="s">
        <v>192</v>
      </c>
      <c r="I55" s="136" t="s">
        <v>193</v>
      </c>
      <c r="J55" s="136"/>
      <c r="K55" s="136"/>
      <c r="L55" s="136"/>
      <c r="M55" s="136"/>
      <c r="N55" s="136"/>
      <c r="O55" s="136"/>
    </row>
    <row r="56" spans="2:15" ht="15" customHeight="1">
      <c r="B56" s="69">
        <v>1</v>
      </c>
      <c r="C56" s="69">
        <v>2</v>
      </c>
      <c r="D56" s="69">
        <v>3</v>
      </c>
      <c r="E56" s="69">
        <v>4</v>
      </c>
      <c r="F56" s="69">
        <v>5</v>
      </c>
      <c r="I56" s="136"/>
      <c r="J56" s="136"/>
      <c r="K56" s="136"/>
      <c r="L56" s="136"/>
      <c r="M56" s="136"/>
      <c r="N56" s="136"/>
      <c r="O56" s="136"/>
    </row>
    <row r="57" spans="2:15">
      <c r="B57" s="15" t="s">
        <v>8</v>
      </c>
      <c r="C57" s="15" t="s">
        <v>9</v>
      </c>
      <c r="D57" s="15" t="s">
        <v>10</v>
      </c>
      <c r="E57" s="15" t="s">
        <v>11</v>
      </c>
      <c r="F57" s="15" t="s">
        <v>66</v>
      </c>
      <c r="I57" s="136"/>
      <c r="J57" s="136"/>
      <c r="K57" s="136"/>
      <c r="L57" s="136"/>
      <c r="M57" s="136"/>
      <c r="N57" s="136"/>
      <c r="O57" s="136"/>
    </row>
    <row r="58" spans="2:15">
      <c r="B58" s="16" t="s">
        <v>20</v>
      </c>
      <c r="C58" s="16" t="s">
        <v>21</v>
      </c>
      <c r="D58" s="16">
        <v>6952214933</v>
      </c>
      <c r="E58" s="16" t="s">
        <v>22</v>
      </c>
      <c r="F58" s="14">
        <v>100</v>
      </c>
      <c r="I58" s="74">
        <v>1</v>
      </c>
      <c r="J58" s="73">
        <v>1</v>
      </c>
      <c r="K58" s="73">
        <v>2</v>
      </c>
      <c r="L58" s="73">
        <v>3</v>
      </c>
      <c r="M58" s="73">
        <v>4</v>
      </c>
    </row>
    <row r="59" spans="2:15">
      <c r="B59" s="16" t="s">
        <v>20</v>
      </c>
      <c r="C59" s="16" t="s">
        <v>27</v>
      </c>
      <c r="D59" s="16">
        <v>11290307768</v>
      </c>
      <c r="E59" s="16" t="s">
        <v>28</v>
      </c>
      <c r="F59" s="14">
        <v>89</v>
      </c>
      <c r="I59" s="15" t="s">
        <v>8</v>
      </c>
      <c r="J59" s="75" t="s">
        <v>9</v>
      </c>
      <c r="K59" s="75" t="s">
        <v>10</v>
      </c>
      <c r="L59" s="75" t="s">
        <v>11</v>
      </c>
      <c r="M59" s="75" t="s">
        <v>66</v>
      </c>
    </row>
    <row r="60" spans="2:15">
      <c r="B60" s="16" t="s">
        <v>20</v>
      </c>
      <c r="C60" s="16" t="s">
        <v>30</v>
      </c>
      <c r="D60" s="16">
        <v>34697625897</v>
      </c>
      <c r="E60" s="16" t="s">
        <v>31</v>
      </c>
      <c r="F60" s="14">
        <v>99</v>
      </c>
      <c r="I60" s="16" t="s">
        <v>20</v>
      </c>
      <c r="J60" s="70" t="s">
        <v>21</v>
      </c>
      <c r="K60" s="70">
        <v>6952214933</v>
      </c>
      <c r="L60" s="70" t="s">
        <v>22</v>
      </c>
      <c r="M60" s="71">
        <v>100</v>
      </c>
    </row>
    <row r="61" spans="2:15">
      <c r="B61" s="16" t="s">
        <v>20</v>
      </c>
      <c r="C61" s="16" t="s">
        <v>33</v>
      </c>
      <c r="D61" s="16">
        <v>26669129300</v>
      </c>
      <c r="E61" s="16" t="s">
        <v>34</v>
      </c>
      <c r="F61" s="14">
        <v>100</v>
      </c>
      <c r="I61" s="16" t="s">
        <v>20</v>
      </c>
      <c r="J61" s="70" t="s">
        <v>27</v>
      </c>
      <c r="K61" s="70">
        <v>11290307768</v>
      </c>
      <c r="L61" s="70" t="s">
        <v>28</v>
      </c>
      <c r="M61" s="71">
        <v>89</v>
      </c>
    </row>
    <row r="62" spans="2:15">
      <c r="B62" s="16" t="s">
        <v>20</v>
      </c>
      <c r="C62" s="16" t="s">
        <v>36</v>
      </c>
      <c r="D62" s="16">
        <v>21892938804</v>
      </c>
      <c r="E62" s="16" t="s">
        <v>37</v>
      </c>
      <c r="F62" s="14">
        <v>0</v>
      </c>
      <c r="I62" s="16" t="s">
        <v>20</v>
      </c>
      <c r="J62" s="70" t="s">
        <v>30</v>
      </c>
      <c r="K62" s="70">
        <v>34697625897</v>
      </c>
      <c r="L62" s="70" t="s">
        <v>31</v>
      </c>
      <c r="M62" s="71">
        <v>99</v>
      </c>
    </row>
    <row r="63" spans="2:15">
      <c r="B63" s="16" t="s">
        <v>20</v>
      </c>
      <c r="C63" s="16" t="s">
        <v>39</v>
      </c>
      <c r="D63" s="16">
        <v>69906505168</v>
      </c>
      <c r="E63" s="16" t="s">
        <v>40</v>
      </c>
      <c r="F63" s="14">
        <v>87</v>
      </c>
      <c r="I63" s="16" t="s">
        <v>20</v>
      </c>
      <c r="J63" s="70" t="s">
        <v>33</v>
      </c>
      <c r="K63" s="70">
        <v>26669129300</v>
      </c>
      <c r="L63" s="70" t="s">
        <v>34</v>
      </c>
      <c r="M63" s="71">
        <v>100</v>
      </c>
    </row>
    <row r="64" spans="2:15">
      <c r="B64" s="16" t="s">
        <v>20</v>
      </c>
      <c r="C64" s="16" t="s">
        <v>41</v>
      </c>
      <c r="D64" s="16">
        <v>91139066153</v>
      </c>
      <c r="E64" s="16" t="s">
        <v>42</v>
      </c>
      <c r="F64" s="14">
        <v>88</v>
      </c>
      <c r="I64" s="16" t="s">
        <v>20</v>
      </c>
      <c r="J64" s="70" t="s">
        <v>36</v>
      </c>
      <c r="K64" s="70">
        <v>21892938804</v>
      </c>
      <c r="L64" s="70" t="s">
        <v>37</v>
      </c>
      <c r="M64" s="71">
        <v>0</v>
      </c>
    </row>
    <row r="65" spans="2:13">
      <c r="B65" s="16" t="s">
        <v>20</v>
      </c>
      <c r="C65" s="16" t="s">
        <v>43</v>
      </c>
      <c r="D65" s="16">
        <v>12654094472</v>
      </c>
      <c r="E65" s="16" t="s">
        <v>44</v>
      </c>
      <c r="F65" s="14">
        <v>85</v>
      </c>
      <c r="I65" s="16" t="s">
        <v>20</v>
      </c>
      <c r="J65" s="70" t="s">
        <v>39</v>
      </c>
      <c r="K65" s="70">
        <v>69906505168</v>
      </c>
      <c r="L65" s="70" t="s">
        <v>40</v>
      </c>
      <c r="M65" s="71">
        <v>87</v>
      </c>
    </row>
    <row r="66" spans="2:13">
      <c r="B66" s="16" t="s">
        <v>20</v>
      </c>
      <c r="C66" s="16" t="s">
        <v>45</v>
      </c>
      <c r="D66" s="16">
        <v>4172832610</v>
      </c>
      <c r="E66" s="16" t="s">
        <v>46</v>
      </c>
      <c r="F66" s="14">
        <v>70</v>
      </c>
      <c r="I66" s="16" t="s">
        <v>20</v>
      </c>
      <c r="J66" s="70" t="s">
        <v>41</v>
      </c>
      <c r="K66" s="70">
        <v>91139066153</v>
      </c>
      <c r="L66" s="70" t="s">
        <v>42</v>
      </c>
      <c r="M66" s="71">
        <v>88</v>
      </c>
    </row>
    <row r="67" spans="2:13">
      <c r="B67" s="16" t="s">
        <v>20</v>
      </c>
      <c r="C67" s="16" t="s">
        <v>48</v>
      </c>
      <c r="D67" s="16">
        <v>39979369</v>
      </c>
      <c r="E67" s="16" t="s">
        <v>49</v>
      </c>
      <c r="F67" s="14">
        <v>69</v>
      </c>
      <c r="I67" s="16" t="s">
        <v>20</v>
      </c>
      <c r="J67" s="70" t="s">
        <v>43</v>
      </c>
      <c r="K67" s="70">
        <v>12654094472</v>
      </c>
      <c r="L67" s="70" t="s">
        <v>44</v>
      </c>
      <c r="M67" s="71">
        <v>85</v>
      </c>
    </row>
    <row r="68" spans="2:13">
      <c r="B68" s="16" t="s">
        <v>20</v>
      </c>
      <c r="C68" s="16" t="s">
        <v>51</v>
      </c>
      <c r="D68" s="16">
        <v>56645015968</v>
      </c>
      <c r="E68" s="16" t="s">
        <v>52</v>
      </c>
      <c r="F68" s="14">
        <v>100</v>
      </c>
      <c r="I68" s="16" t="s">
        <v>20</v>
      </c>
      <c r="J68" s="70" t="s">
        <v>45</v>
      </c>
      <c r="K68" s="70">
        <v>4172832610</v>
      </c>
      <c r="L68" s="70" t="s">
        <v>46</v>
      </c>
      <c r="M68" s="71">
        <v>70</v>
      </c>
    </row>
    <row r="69" spans="2:13">
      <c r="B69" s="16" t="s">
        <v>20</v>
      </c>
      <c r="C69" s="16" t="s">
        <v>53</v>
      </c>
      <c r="D69" s="16">
        <v>30747449287</v>
      </c>
      <c r="E69" s="16" t="s">
        <v>54</v>
      </c>
      <c r="F69" s="14">
        <v>0</v>
      </c>
      <c r="I69" s="16" t="s">
        <v>20</v>
      </c>
      <c r="J69" s="70" t="s">
        <v>48</v>
      </c>
      <c r="K69" s="70">
        <v>39979369</v>
      </c>
      <c r="L69" s="70" t="s">
        <v>49</v>
      </c>
      <c r="M69" s="71">
        <v>69</v>
      </c>
    </row>
    <row r="70" spans="2:13">
      <c r="B70" s="16" t="s">
        <v>20</v>
      </c>
      <c r="C70" s="16" t="s">
        <v>56</v>
      </c>
      <c r="D70" s="16">
        <v>377945587</v>
      </c>
      <c r="E70" s="16" t="s">
        <v>57</v>
      </c>
      <c r="F70" s="14">
        <v>100</v>
      </c>
      <c r="I70" s="16" t="s">
        <v>20</v>
      </c>
      <c r="J70" s="70" t="s">
        <v>51</v>
      </c>
      <c r="K70" s="70">
        <v>56645015968</v>
      </c>
      <c r="L70" s="70" t="s">
        <v>52</v>
      </c>
      <c r="M70" s="71">
        <v>100</v>
      </c>
    </row>
    <row r="71" spans="2:13">
      <c r="B71" s="16" t="s">
        <v>20</v>
      </c>
      <c r="C71" s="16" t="s">
        <v>58</v>
      </c>
      <c r="D71" s="16">
        <v>56006187604</v>
      </c>
      <c r="E71" s="16" t="s">
        <v>59</v>
      </c>
      <c r="F71" s="14">
        <v>90</v>
      </c>
      <c r="I71" s="16" t="s">
        <v>20</v>
      </c>
      <c r="J71" s="70" t="s">
        <v>53</v>
      </c>
      <c r="K71" s="70">
        <v>30747449287</v>
      </c>
      <c r="L71" s="70" t="s">
        <v>54</v>
      </c>
      <c r="M71" s="71">
        <v>0</v>
      </c>
    </row>
    <row r="72" spans="2:13">
      <c r="B72" s="16" t="s">
        <v>20</v>
      </c>
      <c r="C72" s="16" t="s">
        <v>60</v>
      </c>
      <c r="D72" s="16">
        <v>17111854934</v>
      </c>
      <c r="E72" s="16" t="s">
        <v>61</v>
      </c>
      <c r="F72" s="14">
        <v>93</v>
      </c>
      <c r="I72" s="16" t="s">
        <v>20</v>
      </c>
      <c r="J72" s="70" t="s">
        <v>56</v>
      </c>
      <c r="K72" s="70">
        <v>377945587</v>
      </c>
      <c r="L72" s="70" t="s">
        <v>57</v>
      </c>
      <c r="M72" s="71">
        <v>100</v>
      </c>
    </row>
    <row r="73" spans="2:13">
      <c r="B73" s="16" t="s">
        <v>20</v>
      </c>
      <c r="C73" s="16" t="s">
        <v>62</v>
      </c>
      <c r="D73" s="16">
        <v>4964046605</v>
      </c>
      <c r="E73" s="16" t="s">
        <v>63</v>
      </c>
      <c r="F73" s="14">
        <v>82</v>
      </c>
      <c r="I73" s="16" t="s">
        <v>20</v>
      </c>
      <c r="J73" s="70" t="s">
        <v>58</v>
      </c>
      <c r="K73" s="70">
        <v>56006187604</v>
      </c>
      <c r="L73" s="70" t="s">
        <v>59</v>
      </c>
      <c r="M73" s="71">
        <v>90</v>
      </c>
    </row>
    <row r="74" spans="2:13">
      <c r="B74" s="16" t="s">
        <v>20</v>
      </c>
      <c r="C74" s="16" t="s">
        <v>64</v>
      </c>
      <c r="D74" s="16">
        <v>31646670949</v>
      </c>
      <c r="E74" s="16" t="s">
        <v>65</v>
      </c>
      <c r="F74" s="14">
        <v>80</v>
      </c>
      <c r="I74" s="16" t="s">
        <v>20</v>
      </c>
      <c r="J74" s="70" t="s">
        <v>60</v>
      </c>
      <c r="K74" s="70">
        <v>17111854934</v>
      </c>
      <c r="L74" s="70" t="s">
        <v>61</v>
      </c>
      <c r="M74" s="71">
        <v>93</v>
      </c>
    </row>
    <row r="75" spans="2:13">
      <c r="I75" s="16" t="s">
        <v>20</v>
      </c>
      <c r="J75" s="70" t="s">
        <v>62</v>
      </c>
      <c r="K75" s="70">
        <v>4964046605</v>
      </c>
      <c r="L75" s="70" t="s">
        <v>63</v>
      </c>
      <c r="M75" s="71">
        <v>82</v>
      </c>
    </row>
    <row r="76" spans="2:13">
      <c r="I76" s="16" t="s">
        <v>20</v>
      </c>
      <c r="J76" s="70" t="s">
        <v>64</v>
      </c>
      <c r="K76" s="70">
        <v>31646670949</v>
      </c>
      <c r="L76" s="70" t="s">
        <v>65</v>
      </c>
      <c r="M76" s="71">
        <v>80</v>
      </c>
    </row>
  </sheetData>
  <mergeCells count="3">
    <mergeCell ref="B9:M12"/>
    <mergeCell ref="H39:I40"/>
    <mergeCell ref="I55:O57"/>
  </mergeCell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dimension ref="B1:O60"/>
  <sheetViews>
    <sheetView showGridLines="0" showRowColHeaders="0" topLeftCell="F1" workbookViewId="0"/>
  </sheetViews>
  <sheetFormatPr defaultRowHeight="15" customHeight="1" zeroHeight="1"/>
  <cols>
    <col min="1" max="1" width="3.6640625" customWidth="1"/>
    <col min="4" max="4" width="12" bestFit="1" customWidth="1"/>
    <col min="10" max="10" width="15.5546875" bestFit="1" customWidth="1"/>
    <col min="11" max="11" width="15.33203125" customWidth="1"/>
  </cols>
  <sheetData>
    <row r="1" spans="2:3" ht="14.4"/>
    <row r="2" spans="2:3" ht="14.4"/>
    <row r="3" spans="2:3" ht="14.4"/>
    <row r="4" spans="2:3" ht="14.4"/>
    <row r="5" spans="2:3" ht="14.4"/>
    <row r="6" spans="2:3" ht="14.4"/>
    <row r="7" spans="2:3" ht="23.4">
      <c r="B7" s="6" t="s">
        <v>150</v>
      </c>
    </row>
    <row r="8" spans="2:3" ht="14.4"/>
    <row r="9" spans="2:3" ht="14.4">
      <c r="B9" s="4" t="s">
        <v>154</v>
      </c>
    </row>
    <row r="10" spans="2:3" ht="14.4">
      <c r="B10" s="4"/>
      <c r="C10" s="29"/>
    </row>
    <row r="11" spans="2:3" ht="23.4">
      <c r="B11" s="7" t="s">
        <v>149</v>
      </c>
      <c r="C11" s="29"/>
    </row>
    <row r="12" spans="2:3" ht="14.4"/>
    <row r="13" spans="2:3" ht="14.4">
      <c r="B13" s="4"/>
      <c r="C13" s="29" t="s">
        <v>151</v>
      </c>
    </row>
    <row r="14" spans="2:3" ht="14.4">
      <c r="C14" s="29"/>
    </row>
    <row r="15" spans="2:3" ht="23.4">
      <c r="B15" s="7" t="s">
        <v>72</v>
      </c>
    </row>
    <row r="16" spans="2:3" ht="14.4"/>
    <row r="17" spans="2:15" ht="14.4">
      <c r="B17" s="1" t="s">
        <v>7</v>
      </c>
    </row>
    <row r="18" spans="2:15" ht="14.4">
      <c r="B18" s="1"/>
    </row>
    <row r="19" spans="2:15" ht="14.4">
      <c r="B19" s="12" t="s">
        <v>138</v>
      </c>
    </row>
    <row r="20" spans="2:15" ht="14.4">
      <c r="J20" s="48"/>
      <c r="K20" s="48"/>
      <c r="L20" s="48"/>
    </row>
    <row r="21" spans="2:15" ht="14.4">
      <c r="J21" s="48"/>
      <c r="K21" s="48"/>
      <c r="L21" s="48"/>
    </row>
    <row r="22" spans="2:15" ht="14.4">
      <c r="B22" s="15" t="s">
        <v>8</v>
      </c>
      <c r="C22" s="15" t="s">
        <v>9</v>
      </c>
      <c r="D22" s="15" t="s">
        <v>10</v>
      </c>
      <c r="E22" s="15" t="s">
        <v>11</v>
      </c>
      <c r="F22" s="15" t="s">
        <v>66</v>
      </c>
      <c r="G22" s="30"/>
      <c r="H22" s="30"/>
      <c r="I22" s="30"/>
      <c r="J22" s="50" t="s">
        <v>82</v>
      </c>
      <c r="K22" s="50"/>
      <c r="L22" s="51"/>
      <c r="M22" s="31"/>
      <c r="N22" s="31"/>
      <c r="O22" s="31"/>
    </row>
    <row r="23" spans="2:15" ht="14.4">
      <c r="B23" s="16" t="s">
        <v>20</v>
      </c>
      <c r="C23" s="16" t="s">
        <v>21</v>
      </c>
      <c r="D23" s="16">
        <v>6952214933</v>
      </c>
      <c r="E23" s="16" t="s">
        <v>22</v>
      </c>
      <c r="F23" s="14">
        <v>100</v>
      </c>
      <c r="G23" s="33"/>
      <c r="H23" s="34"/>
      <c r="I23" s="34"/>
      <c r="J23" s="55" t="s">
        <v>153</v>
      </c>
      <c r="K23" s="46"/>
      <c r="L23" s="47"/>
      <c r="M23" s="31"/>
      <c r="N23" s="31"/>
      <c r="O23" s="31"/>
    </row>
    <row r="24" spans="2:15" ht="14.4">
      <c r="B24" s="16" t="s">
        <v>20</v>
      </c>
      <c r="C24" s="16" t="s">
        <v>27</v>
      </c>
      <c r="D24" s="16">
        <v>11290307768</v>
      </c>
      <c r="E24" s="16" t="s">
        <v>28</v>
      </c>
      <c r="F24" s="14">
        <v>89</v>
      </c>
      <c r="G24" s="33"/>
      <c r="H24" s="31"/>
      <c r="I24" s="31"/>
      <c r="J24" s="48"/>
      <c r="K24" s="48"/>
      <c r="L24" s="49"/>
      <c r="M24" s="31"/>
      <c r="N24" s="31"/>
      <c r="O24" s="31"/>
    </row>
    <row r="25" spans="2:15" ht="14.4">
      <c r="B25" s="16" t="s">
        <v>20</v>
      </c>
      <c r="C25" s="16" t="s">
        <v>30</v>
      </c>
      <c r="D25" s="16">
        <v>34697625897</v>
      </c>
      <c r="E25" s="16" t="s">
        <v>31</v>
      </c>
      <c r="F25" s="14">
        <v>99</v>
      </c>
      <c r="G25" s="33"/>
      <c r="H25" s="31"/>
      <c r="I25" s="31"/>
      <c r="J25" s="31"/>
      <c r="K25" s="31"/>
      <c r="L25" s="35"/>
      <c r="M25" s="31"/>
      <c r="N25" s="31"/>
      <c r="O25" s="31"/>
    </row>
    <row r="26" spans="2:15" ht="14.4">
      <c r="B26" s="16" t="s">
        <v>20</v>
      </c>
      <c r="C26" s="16" t="s">
        <v>33</v>
      </c>
      <c r="D26" s="16">
        <v>26669129300</v>
      </c>
      <c r="E26" s="16" t="s">
        <v>34</v>
      </c>
      <c r="F26" s="14">
        <v>100</v>
      </c>
      <c r="G26" s="33"/>
      <c r="H26" s="31"/>
      <c r="I26" s="31"/>
      <c r="J26" s="31"/>
      <c r="K26" s="31"/>
      <c r="L26" s="35"/>
      <c r="M26" s="31"/>
      <c r="N26" s="31"/>
      <c r="O26" s="31"/>
    </row>
    <row r="27" spans="2:15" ht="14.4">
      <c r="B27" s="16" t="s">
        <v>20</v>
      </c>
      <c r="C27" s="16" t="s">
        <v>36</v>
      </c>
      <c r="D27" s="16">
        <v>21892938804</v>
      </c>
      <c r="E27" s="16" t="s">
        <v>37</v>
      </c>
      <c r="F27" s="14">
        <v>0</v>
      </c>
      <c r="G27" s="33"/>
      <c r="H27" s="45"/>
      <c r="I27" s="45"/>
      <c r="J27" s="31"/>
      <c r="K27" s="31"/>
      <c r="L27" s="35"/>
      <c r="M27" s="31"/>
      <c r="N27" s="31"/>
      <c r="O27" s="31"/>
    </row>
    <row r="28" spans="2:15" ht="14.4">
      <c r="B28" s="16" t="s">
        <v>20</v>
      </c>
      <c r="C28" s="16" t="s">
        <v>39</v>
      </c>
      <c r="D28" s="16">
        <v>69906505168</v>
      </c>
      <c r="E28" s="16" t="s">
        <v>40</v>
      </c>
      <c r="F28" s="14">
        <v>87</v>
      </c>
      <c r="G28" s="33"/>
      <c r="H28" s="45"/>
      <c r="I28" s="45"/>
      <c r="J28" s="31"/>
      <c r="K28" s="31"/>
      <c r="L28" s="35"/>
      <c r="M28" s="31"/>
      <c r="N28" s="31"/>
      <c r="O28" s="31"/>
    </row>
    <row r="29" spans="2:15" ht="14.4">
      <c r="B29" s="16" t="s">
        <v>20</v>
      </c>
      <c r="C29" s="16" t="s">
        <v>41</v>
      </c>
      <c r="D29" s="16">
        <v>91139066153</v>
      </c>
      <c r="E29" s="16" t="s">
        <v>42</v>
      </c>
      <c r="F29" s="14">
        <v>88</v>
      </c>
      <c r="G29" s="33"/>
      <c r="H29" s="31"/>
      <c r="I29" s="31"/>
      <c r="J29" s="31"/>
      <c r="K29" s="31"/>
      <c r="L29" s="35"/>
      <c r="M29" s="31"/>
      <c r="N29" s="31"/>
      <c r="O29" s="31"/>
    </row>
    <row r="30" spans="2:15" ht="14.4">
      <c r="B30" s="16" t="s">
        <v>20</v>
      </c>
      <c r="C30" s="16" t="s">
        <v>43</v>
      </c>
      <c r="D30" s="16">
        <v>12654094472</v>
      </c>
      <c r="E30" s="16" t="s">
        <v>44</v>
      </c>
      <c r="F30" s="14">
        <v>85</v>
      </c>
      <c r="G30" s="33"/>
      <c r="H30" s="31"/>
      <c r="I30" s="31"/>
      <c r="J30" s="31"/>
      <c r="K30" s="31"/>
      <c r="L30" s="35"/>
      <c r="M30" s="31"/>
      <c r="N30" s="31"/>
      <c r="O30" s="31"/>
    </row>
    <row r="31" spans="2:15" ht="14.4">
      <c r="B31" s="16" t="s">
        <v>20</v>
      </c>
      <c r="C31" s="16" t="s">
        <v>45</v>
      </c>
      <c r="D31" s="16">
        <v>4172832610</v>
      </c>
      <c r="E31" s="16" t="s">
        <v>46</v>
      </c>
      <c r="F31" s="14">
        <v>70</v>
      </c>
      <c r="G31" s="33"/>
      <c r="H31" s="32"/>
      <c r="I31" s="31"/>
      <c r="J31" s="31"/>
      <c r="K31" s="31"/>
      <c r="L31" s="35"/>
      <c r="M31" s="31"/>
      <c r="N31" s="31"/>
      <c r="O31" s="31"/>
    </row>
    <row r="32" spans="2:15" ht="14.4">
      <c r="B32" s="31"/>
      <c r="C32" s="31"/>
      <c r="D32" s="31"/>
      <c r="G32" s="31"/>
      <c r="H32" s="31"/>
      <c r="I32" s="31"/>
      <c r="J32" s="31"/>
      <c r="K32" s="31"/>
      <c r="L32" s="35"/>
      <c r="M32" s="31"/>
      <c r="N32" s="31"/>
      <c r="O32" s="31"/>
    </row>
    <row r="33" spans="2:15" ht="14.4">
      <c r="B33" s="52" t="s">
        <v>152</v>
      </c>
      <c r="C33" s="52"/>
      <c r="D33" s="52"/>
      <c r="E33" s="53"/>
      <c r="F33" s="54">
        <f>SUM(F23:F31)</f>
        <v>718</v>
      </c>
      <c r="G33" s="31"/>
      <c r="H33" s="31"/>
      <c r="I33" s="31"/>
      <c r="J33" s="31"/>
      <c r="K33" s="31"/>
      <c r="L33" s="35"/>
      <c r="M33" s="31"/>
      <c r="N33" s="31"/>
      <c r="O33" s="31"/>
    </row>
    <row r="34" spans="2:15" ht="14.4"/>
    <row r="35" spans="2:15" ht="14.4"/>
    <row r="36" spans="2:15" ht="14.4"/>
    <row r="37" spans="2:15" ht="14.4"/>
    <row r="38" spans="2:15" ht="14.4"/>
    <row r="39" spans="2:15" ht="14.4"/>
    <row r="40" spans="2:15" ht="15" customHeight="1"/>
    <row r="41" spans="2:15" ht="15" customHeight="1"/>
    <row r="42" spans="2:15" ht="15" customHeight="1"/>
    <row r="43" spans="2:15" ht="15" customHeight="1"/>
    <row r="44" spans="2:15" ht="15" customHeight="1"/>
    <row r="45" spans="2:15" ht="15" customHeight="1"/>
    <row r="46" spans="2:15" ht="15" customHeight="1"/>
    <row r="47" spans="2:15" ht="15" customHeight="1"/>
    <row r="48" spans="2:15"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dimension ref="B1:O60"/>
  <sheetViews>
    <sheetView showGridLines="0" showRowColHeaders="0" topLeftCell="D1" workbookViewId="0"/>
  </sheetViews>
  <sheetFormatPr defaultRowHeight="15" customHeight="1" zeroHeight="1"/>
  <cols>
    <col min="1" max="1" width="3.6640625" customWidth="1"/>
    <col min="4" max="4" width="12" bestFit="1" customWidth="1"/>
    <col min="10" max="10" width="15.5546875" bestFit="1" customWidth="1"/>
    <col min="11" max="11" width="15.33203125" customWidth="1"/>
  </cols>
  <sheetData>
    <row r="1" spans="2:3" ht="14.4"/>
    <row r="2" spans="2:3" ht="14.4"/>
    <row r="3" spans="2:3" ht="14.4"/>
    <row r="4" spans="2:3" ht="14.4"/>
    <row r="5" spans="2:3" ht="14.4"/>
    <row r="6" spans="2:3" ht="14.4"/>
    <row r="7" spans="2:3" ht="23.4">
      <c r="B7" s="6" t="s">
        <v>155</v>
      </c>
    </row>
    <row r="8" spans="2:3" ht="14.4"/>
    <row r="9" spans="2:3" ht="14.4">
      <c r="B9" s="4" t="s">
        <v>159</v>
      </c>
    </row>
    <row r="10" spans="2:3" ht="14.4">
      <c r="B10" s="4"/>
      <c r="C10" s="29"/>
    </row>
    <row r="11" spans="2:3" ht="23.4">
      <c r="B11" s="7" t="s">
        <v>149</v>
      </c>
      <c r="C11" s="29"/>
    </row>
    <row r="12" spans="2:3" ht="14.4"/>
    <row r="13" spans="2:3" ht="14.4">
      <c r="B13" s="4"/>
      <c r="C13" s="29" t="s">
        <v>156</v>
      </c>
    </row>
    <row r="14" spans="2:3" ht="14.4">
      <c r="C14" s="29"/>
    </row>
    <row r="15" spans="2:3" ht="23.4">
      <c r="B15" s="7" t="s">
        <v>72</v>
      </c>
    </row>
    <row r="16" spans="2:3" ht="14.4"/>
    <row r="17" spans="2:15" ht="14.4">
      <c r="B17" s="1" t="s">
        <v>7</v>
      </c>
    </row>
    <row r="18" spans="2:15" ht="14.4">
      <c r="B18" s="1"/>
    </row>
    <row r="19" spans="2:15" ht="14.4">
      <c r="B19" s="12" t="s">
        <v>138</v>
      </c>
    </row>
    <row r="20" spans="2:15" ht="14.4">
      <c r="J20" s="48"/>
      <c r="K20" s="48"/>
      <c r="L20" s="48"/>
    </row>
    <row r="21" spans="2:15" ht="14.4">
      <c r="J21" s="48"/>
      <c r="K21" s="48"/>
      <c r="L21" s="48"/>
    </row>
    <row r="22" spans="2:15" ht="14.4">
      <c r="B22" s="15" t="s">
        <v>8</v>
      </c>
      <c r="C22" s="15" t="s">
        <v>9</v>
      </c>
      <c r="D22" s="15" t="s">
        <v>10</v>
      </c>
      <c r="E22" s="15" t="s">
        <v>11</v>
      </c>
      <c r="F22" s="15" t="s">
        <v>66</v>
      </c>
      <c r="G22" s="30"/>
      <c r="H22" s="30"/>
      <c r="I22" s="30"/>
      <c r="J22" s="50" t="s">
        <v>82</v>
      </c>
      <c r="K22" s="50"/>
      <c r="L22" s="51"/>
      <c r="M22" s="31"/>
      <c r="N22" s="31"/>
      <c r="O22" s="31"/>
    </row>
    <row r="23" spans="2:15" ht="14.4">
      <c r="B23" s="16" t="s">
        <v>20</v>
      </c>
      <c r="C23" s="16" t="s">
        <v>21</v>
      </c>
      <c r="D23" s="16">
        <v>6952214933</v>
      </c>
      <c r="E23" s="16" t="s">
        <v>22</v>
      </c>
      <c r="F23" s="14">
        <v>100</v>
      </c>
      <c r="G23" s="33"/>
      <c r="H23" s="34"/>
      <c r="I23" s="34"/>
      <c r="J23" s="55" t="s">
        <v>158</v>
      </c>
      <c r="K23" s="46"/>
      <c r="L23" s="47"/>
      <c r="M23" s="31"/>
      <c r="N23" s="31"/>
      <c r="O23" s="31"/>
    </row>
    <row r="24" spans="2:15" ht="14.4">
      <c r="B24" s="16" t="s">
        <v>20</v>
      </c>
      <c r="C24" s="16" t="s">
        <v>27</v>
      </c>
      <c r="D24" s="16">
        <v>11290307768</v>
      </c>
      <c r="E24" s="16" t="s">
        <v>28</v>
      </c>
      <c r="F24" s="14">
        <v>89</v>
      </c>
      <c r="G24" s="33"/>
      <c r="H24" s="31"/>
      <c r="I24" s="31"/>
      <c r="J24" s="48"/>
      <c r="K24" s="48"/>
      <c r="L24" s="49"/>
      <c r="M24" s="31"/>
      <c r="N24" s="31"/>
      <c r="O24" s="31"/>
    </row>
    <row r="25" spans="2:15" ht="14.4">
      <c r="B25" s="16" t="s">
        <v>20</v>
      </c>
      <c r="C25" s="16" t="s">
        <v>30</v>
      </c>
      <c r="D25" s="16">
        <v>34697625897</v>
      </c>
      <c r="E25" s="16" t="s">
        <v>31</v>
      </c>
      <c r="F25" s="14">
        <v>99</v>
      </c>
      <c r="G25" s="33"/>
      <c r="H25" s="31"/>
      <c r="I25" s="31"/>
      <c r="J25" s="32" t="s">
        <v>160</v>
      </c>
      <c r="K25" s="31"/>
      <c r="L25" s="35"/>
      <c r="M25" s="31"/>
      <c r="N25" s="31"/>
      <c r="O25" s="31"/>
    </row>
    <row r="26" spans="2:15" ht="14.4">
      <c r="B26" s="16" t="s">
        <v>20</v>
      </c>
      <c r="C26" s="16" t="s">
        <v>33</v>
      </c>
      <c r="D26" s="16">
        <v>26669129300</v>
      </c>
      <c r="E26" s="16" t="s">
        <v>34</v>
      </c>
      <c r="F26" s="14">
        <v>100</v>
      </c>
      <c r="G26" s="33"/>
      <c r="H26" s="31"/>
      <c r="I26" s="31"/>
      <c r="J26" s="31"/>
      <c r="K26" s="31"/>
      <c r="L26" s="35"/>
      <c r="M26" s="31"/>
      <c r="N26" s="31"/>
      <c r="O26" s="31"/>
    </row>
    <row r="27" spans="2:15" ht="14.4">
      <c r="B27" s="16" t="s">
        <v>20</v>
      </c>
      <c r="C27" s="16" t="s">
        <v>36</v>
      </c>
      <c r="D27" s="16">
        <v>21892938804</v>
      </c>
      <c r="E27" s="16" t="s">
        <v>37</v>
      </c>
      <c r="F27" s="14">
        <v>0</v>
      </c>
      <c r="G27" s="33"/>
      <c r="H27" s="45"/>
      <c r="I27" s="45"/>
      <c r="J27" s="31"/>
      <c r="K27" s="31"/>
      <c r="L27" s="35"/>
      <c r="M27" s="31"/>
      <c r="N27" s="31"/>
      <c r="O27" s="31"/>
    </row>
    <row r="28" spans="2:15" ht="14.4">
      <c r="B28" s="16" t="s">
        <v>20</v>
      </c>
      <c r="C28" s="16" t="s">
        <v>39</v>
      </c>
      <c r="D28" s="16">
        <v>69906505168</v>
      </c>
      <c r="E28" s="16" t="s">
        <v>40</v>
      </c>
      <c r="F28" s="14">
        <v>87</v>
      </c>
      <c r="G28" s="33"/>
      <c r="H28" s="45"/>
      <c r="I28" s="45"/>
      <c r="J28" s="31"/>
      <c r="K28" s="31"/>
      <c r="L28" s="35"/>
      <c r="M28" s="31"/>
      <c r="N28" s="31"/>
      <c r="O28" s="31"/>
    </row>
    <row r="29" spans="2:15" ht="14.4">
      <c r="B29" s="16" t="s">
        <v>20</v>
      </c>
      <c r="C29" s="16" t="s">
        <v>41</v>
      </c>
      <c r="D29" s="16">
        <v>91139066153</v>
      </c>
      <c r="E29" s="16" t="s">
        <v>42</v>
      </c>
      <c r="F29" s="14">
        <v>88</v>
      </c>
      <c r="G29" s="33"/>
      <c r="H29" s="31"/>
      <c r="I29" s="31"/>
      <c r="J29" s="31"/>
      <c r="K29" s="31"/>
      <c r="L29" s="35"/>
      <c r="M29" s="31"/>
      <c r="N29" s="31"/>
      <c r="O29" s="31"/>
    </row>
    <row r="30" spans="2:15" ht="14.4">
      <c r="B30" s="16" t="s">
        <v>20</v>
      </c>
      <c r="C30" s="16" t="s">
        <v>43</v>
      </c>
      <c r="D30" s="16">
        <v>12654094472</v>
      </c>
      <c r="E30" s="16" t="s">
        <v>44</v>
      </c>
      <c r="F30" s="14">
        <v>85</v>
      </c>
      <c r="G30" s="33"/>
      <c r="H30" s="31"/>
      <c r="I30" s="31"/>
      <c r="J30" s="31"/>
      <c r="K30" s="31"/>
      <c r="L30" s="35"/>
      <c r="M30" s="31"/>
      <c r="N30" s="31"/>
      <c r="O30" s="31"/>
    </row>
    <row r="31" spans="2:15" ht="14.4">
      <c r="B31" s="16" t="s">
        <v>20</v>
      </c>
      <c r="C31" s="16" t="s">
        <v>45</v>
      </c>
      <c r="D31" s="16">
        <v>4172832610</v>
      </c>
      <c r="E31" s="16" t="s">
        <v>46</v>
      </c>
      <c r="F31" s="14">
        <v>70</v>
      </c>
      <c r="G31" s="33"/>
      <c r="H31" s="32"/>
      <c r="I31" s="31"/>
      <c r="J31" s="31"/>
      <c r="K31" s="31"/>
      <c r="L31" s="35"/>
      <c r="M31" s="31"/>
      <c r="N31" s="31"/>
      <c r="O31" s="31"/>
    </row>
    <row r="32" spans="2:15" ht="14.4">
      <c r="B32" s="31"/>
      <c r="C32" s="31"/>
      <c r="D32" s="31"/>
      <c r="G32" s="31"/>
      <c r="H32" s="31"/>
      <c r="I32" s="31"/>
      <c r="J32" s="31"/>
      <c r="K32" s="31"/>
      <c r="L32" s="35"/>
      <c r="M32" s="31"/>
      <c r="N32" s="31"/>
      <c r="O32" s="31"/>
    </row>
    <row r="33" spans="2:15" ht="14.4">
      <c r="B33" s="52" t="s">
        <v>157</v>
      </c>
      <c r="C33" s="52"/>
      <c r="D33" s="52"/>
      <c r="E33" s="53"/>
      <c r="F33" s="56">
        <f>AVERAGE(F23:F31)</f>
        <v>79.777777777777771</v>
      </c>
      <c r="G33" s="31"/>
      <c r="H33" s="31"/>
      <c r="I33" s="31"/>
      <c r="J33" s="31"/>
      <c r="K33" s="31"/>
      <c r="L33" s="35"/>
      <c r="M33" s="31"/>
      <c r="N33" s="31"/>
      <c r="O33" s="31"/>
    </row>
    <row r="34" spans="2:15" ht="14.4"/>
    <row r="35" spans="2:15" ht="14.4"/>
    <row r="36" spans="2:15" ht="14.4"/>
    <row r="37" spans="2:15" ht="14.4"/>
    <row r="38" spans="2:15" ht="14.4"/>
    <row r="39" spans="2:15" ht="14.4"/>
    <row r="40" spans="2:15" ht="15" customHeight="1"/>
    <row r="41" spans="2:15" ht="15" customHeight="1"/>
    <row r="42" spans="2:15" ht="15" customHeight="1"/>
    <row r="43" spans="2:15" ht="15" customHeight="1"/>
    <row r="44" spans="2:15" ht="15" customHeight="1"/>
    <row r="45" spans="2:15" ht="15" customHeight="1"/>
    <row r="46" spans="2:15" ht="15" customHeight="1"/>
    <row r="47" spans="2:15" ht="15" customHeight="1"/>
    <row r="48" spans="2:15" ht="15" customHeight="1"/>
    <row r="49" ht="14.4"/>
    <row r="50" ht="14.4"/>
    <row r="51" ht="14.4"/>
    <row r="52" ht="14.4"/>
    <row r="53" ht="14.4"/>
    <row r="54" ht="14.4"/>
    <row r="55" ht="14.4"/>
    <row r="56" ht="14.4"/>
    <row r="57" ht="14.4"/>
    <row r="58" ht="14.4"/>
    <row r="59" ht="14.4"/>
    <row r="60" ht="14.4"/>
  </sheetData>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dimension ref="B1:O73"/>
  <sheetViews>
    <sheetView showGridLines="0" showRowColHeaders="0" topLeftCell="G1" workbookViewId="0"/>
  </sheetViews>
  <sheetFormatPr defaultRowHeight="15" customHeight="1" zeroHeight="1"/>
  <cols>
    <col min="1" max="1" width="3.6640625" customWidth="1"/>
    <col min="4" max="4" width="12" bestFit="1" customWidth="1"/>
    <col min="10" max="10" width="14.33203125" customWidth="1"/>
    <col min="11" max="11" width="12" customWidth="1"/>
  </cols>
  <sheetData>
    <row r="1" spans="2:14" ht="14.4"/>
    <row r="2" spans="2:14" ht="14.4"/>
    <row r="3" spans="2:14" ht="14.4"/>
    <row r="4" spans="2:14" ht="14.4"/>
    <row r="5" spans="2:14" ht="14.4"/>
    <row r="6" spans="2:14" ht="14.4"/>
    <row r="7" spans="2:14" ht="23.4">
      <c r="B7" s="6" t="s">
        <v>161</v>
      </c>
    </row>
    <row r="8" spans="2:14" ht="14.4"/>
    <row r="9" spans="2:14" ht="15" customHeight="1">
      <c r="B9" s="125" t="s">
        <v>162</v>
      </c>
      <c r="C9" s="125"/>
      <c r="D9" s="125"/>
      <c r="E9" s="125"/>
      <c r="F9" s="125"/>
      <c r="G9" s="125"/>
      <c r="H9" s="125"/>
      <c r="I9" s="125"/>
      <c r="J9" s="125"/>
      <c r="K9" s="125"/>
      <c r="L9" s="125"/>
      <c r="M9" s="125"/>
      <c r="N9" s="125"/>
    </row>
    <row r="10" spans="2:14" ht="14.4">
      <c r="B10" s="125"/>
      <c r="C10" s="125"/>
      <c r="D10" s="125"/>
      <c r="E10" s="125"/>
      <c r="F10" s="125"/>
      <c r="G10" s="125"/>
      <c r="H10" s="125"/>
      <c r="I10" s="125"/>
      <c r="J10" s="125"/>
      <c r="K10" s="125"/>
      <c r="L10" s="125"/>
      <c r="M10" s="125"/>
      <c r="N10" s="125"/>
    </row>
    <row r="11" spans="2:14" ht="14.4">
      <c r="B11" s="125"/>
      <c r="C11" s="125"/>
      <c r="D11" s="125"/>
      <c r="E11" s="125"/>
      <c r="F11" s="125"/>
      <c r="G11" s="125"/>
      <c r="H11" s="125"/>
      <c r="I11" s="125"/>
      <c r="J11" s="125"/>
      <c r="K11" s="125"/>
      <c r="L11" s="125"/>
      <c r="M11" s="125"/>
      <c r="N11" s="125"/>
    </row>
    <row r="12" spans="2:14" ht="14.4">
      <c r="B12" s="125"/>
      <c r="C12" s="125"/>
      <c r="D12" s="125"/>
      <c r="E12" s="125"/>
      <c r="F12" s="125"/>
      <c r="G12" s="125"/>
      <c r="H12" s="125"/>
      <c r="I12" s="125"/>
      <c r="J12" s="125"/>
      <c r="K12" s="125"/>
      <c r="L12" s="125"/>
      <c r="M12" s="125"/>
      <c r="N12" s="125"/>
    </row>
    <row r="13" spans="2:14" ht="14.4">
      <c r="B13" s="4"/>
      <c r="C13" s="29"/>
    </row>
    <row r="14" spans="2:14" ht="23.4">
      <c r="B14" s="7" t="s">
        <v>149</v>
      </c>
      <c r="C14" s="29"/>
    </row>
    <row r="15" spans="2:14" ht="14.4"/>
    <row r="16" spans="2:14" ht="14.4">
      <c r="B16" s="4"/>
      <c r="C16" s="29" t="s">
        <v>163</v>
      </c>
    </row>
    <row r="17" spans="2:10" ht="14.4">
      <c r="C17" s="29"/>
    </row>
    <row r="18" spans="2:10" ht="23.4">
      <c r="B18" s="7" t="s">
        <v>72</v>
      </c>
    </row>
    <row r="19" spans="2:10" ht="14.4"/>
    <row r="20" spans="2:10" ht="14.4">
      <c r="B20" s="1" t="s">
        <v>7</v>
      </c>
    </row>
    <row r="21" spans="2:10" ht="14.4">
      <c r="B21" s="1"/>
    </row>
    <row r="22" spans="2:10" ht="14.4">
      <c r="B22" s="1" t="s">
        <v>167</v>
      </c>
      <c r="C22" t="s">
        <v>168</v>
      </c>
    </row>
    <row r="23" spans="2:10" ht="14.4">
      <c r="B23" s="1"/>
    </row>
    <row r="24" spans="2:10" ht="14.4">
      <c r="B24" s="1"/>
    </row>
    <row r="25" spans="2:10" ht="14.4">
      <c r="B25" s="1" t="s">
        <v>169</v>
      </c>
      <c r="C25" t="s">
        <v>170</v>
      </c>
    </row>
    <row r="26" spans="2:10" ht="14.4">
      <c r="B26" s="1"/>
    </row>
    <row r="27" spans="2:10" ht="14.4">
      <c r="B27" s="1"/>
    </row>
    <row r="28" spans="2:10" ht="14.4">
      <c r="B28" s="1"/>
    </row>
    <row r="29" spans="2:10" ht="14.4">
      <c r="B29" s="1"/>
    </row>
    <row r="30" spans="2:10" ht="14.4">
      <c r="B30" s="1"/>
    </row>
    <row r="31" spans="2:10" ht="14.4">
      <c r="B31" s="1"/>
    </row>
    <row r="32" spans="2:10" ht="14.4">
      <c r="B32" s="12" t="s">
        <v>138</v>
      </c>
      <c r="J32" s="1" t="s">
        <v>171</v>
      </c>
    </row>
    <row r="33" spans="2:15" ht="14.4">
      <c r="J33" s="48"/>
      <c r="K33" s="48"/>
      <c r="L33" s="48"/>
    </row>
    <row r="34" spans="2:15" ht="14.4">
      <c r="J34" s="48"/>
      <c r="K34" s="48"/>
      <c r="L34" s="48"/>
    </row>
    <row r="35" spans="2:15" ht="14.4">
      <c r="B35" s="15" t="s">
        <v>8</v>
      </c>
      <c r="C35" s="15" t="s">
        <v>9</v>
      </c>
      <c r="D35" s="15" t="s">
        <v>10</v>
      </c>
      <c r="E35" s="15" t="s">
        <v>11</v>
      </c>
      <c r="F35" s="15" t="s">
        <v>66</v>
      </c>
      <c r="G35" s="30"/>
      <c r="H35" s="30"/>
      <c r="I35" s="30"/>
      <c r="J35" s="50"/>
      <c r="K35" s="50"/>
      <c r="L35" s="51"/>
      <c r="M35" s="31"/>
      <c r="N35" s="31"/>
      <c r="O35" s="31"/>
    </row>
    <row r="36" spans="2:15" ht="14.4">
      <c r="B36" s="16" t="s">
        <v>20</v>
      </c>
      <c r="C36" s="16" t="s">
        <v>21</v>
      </c>
      <c r="D36" s="16">
        <v>6952214933</v>
      </c>
      <c r="E36" s="16" t="s">
        <v>22</v>
      </c>
      <c r="F36" s="14">
        <v>100</v>
      </c>
      <c r="G36" s="33"/>
      <c r="H36" s="34"/>
      <c r="I36" s="34"/>
      <c r="J36" s="55"/>
      <c r="K36" s="46"/>
      <c r="L36" s="47"/>
      <c r="M36" s="31"/>
      <c r="N36" s="31"/>
      <c r="O36" s="31"/>
    </row>
    <row r="37" spans="2:15" ht="14.4">
      <c r="B37" s="16" t="s">
        <v>20</v>
      </c>
      <c r="C37" s="16" t="s">
        <v>27</v>
      </c>
      <c r="D37" s="16">
        <v>11290307768</v>
      </c>
      <c r="E37" s="16" t="s">
        <v>28</v>
      </c>
      <c r="F37" s="14">
        <v>89</v>
      </c>
      <c r="G37" s="33"/>
      <c r="H37" s="31"/>
      <c r="I37" s="31"/>
      <c r="J37" s="57" t="s">
        <v>166</v>
      </c>
    </row>
    <row r="38" spans="2:15" ht="14.4">
      <c r="B38" s="16" t="s">
        <v>20</v>
      </c>
      <c r="C38" s="16" t="s">
        <v>30</v>
      </c>
      <c r="D38" s="16">
        <v>34697625897</v>
      </c>
      <c r="E38" s="16" t="s">
        <v>31</v>
      </c>
      <c r="F38" s="14">
        <v>99</v>
      </c>
      <c r="G38" s="33"/>
      <c r="H38" s="31"/>
      <c r="I38" s="31"/>
      <c r="J38" s="57" t="s">
        <v>9</v>
      </c>
      <c r="K38" t="s">
        <v>165</v>
      </c>
    </row>
    <row r="39" spans="2:15" ht="14.4">
      <c r="B39" s="16" t="s">
        <v>20</v>
      </c>
      <c r="C39" s="16" t="s">
        <v>33</v>
      </c>
      <c r="D39" s="16">
        <v>26669129300</v>
      </c>
      <c r="E39" s="16" t="s">
        <v>34</v>
      </c>
      <c r="F39" s="14">
        <v>100</v>
      </c>
      <c r="G39" s="33"/>
      <c r="H39" s="31"/>
      <c r="I39" s="31"/>
      <c r="J39" t="s">
        <v>36</v>
      </c>
      <c r="K39" s="58">
        <v>0</v>
      </c>
    </row>
    <row r="40" spans="2:15" ht="14.4">
      <c r="B40" s="16" t="s">
        <v>20</v>
      </c>
      <c r="C40" s="16" t="s">
        <v>36</v>
      </c>
      <c r="D40" s="16">
        <v>21892938804</v>
      </c>
      <c r="E40" s="16" t="s">
        <v>37</v>
      </c>
      <c r="F40" s="14">
        <v>0</v>
      </c>
      <c r="G40" s="33"/>
      <c r="H40" s="45"/>
      <c r="I40" s="45"/>
      <c r="J40" t="s">
        <v>45</v>
      </c>
      <c r="K40" s="58">
        <v>70</v>
      </c>
    </row>
    <row r="41" spans="2:15" ht="14.4">
      <c r="B41" s="16" t="s">
        <v>20</v>
      </c>
      <c r="C41" s="16" t="s">
        <v>39</v>
      </c>
      <c r="D41" s="16">
        <v>69906505168</v>
      </c>
      <c r="E41" s="16" t="s">
        <v>40</v>
      </c>
      <c r="F41" s="14">
        <v>87</v>
      </c>
      <c r="G41" s="33"/>
      <c r="H41" s="45"/>
      <c r="I41" s="45"/>
      <c r="J41" t="s">
        <v>33</v>
      </c>
      <c r="K41" s="58">
        <v>100</v>
      </c>
    </row>
    <row r="42" spans="2:15" ht="14.4">
      <c r="B42" s="16" t="s">
        <v>20</v>
      </c>
      <c r="C42" s="16" t="s">
        <v>41</v>
      </c>
      <c r="D42" s="16">
        <v>91139066153</v>
      </c>
      <c r="E42" s="16" t="s">
        <v>42</v>
      </c>
      <c r="F42" s="14">
        <v>88</v>
      </c>
      <c r="G42" s="33"/>
      <c r="H42" s="31"/>
      <c r="I42" s="31"/>
      <c r="J42" t="s">
        <v>41</v>
      </c>
      <c r="K42" s="58">
        <v>88</v>
      </c>
    </row>
    <row r="43" spans="2:15" ht="14.4">
      <c r="B43" s="16" t="s">
        <v>20</v>
      </c>
      <c r="C43" s="16" t="s">
        <v>43</v>
      </c>
      <c r="D43" s="16">
        <v>12654094472</v>
      </c>
      <c r="E43" s="16" t="s">
        <v>44</v>
      </c>
      <c r="F43" s="14">
        <v>85</v>
      </c>
      <c r="G43" s="33"/>
      <c r="H43" s="31"/>
      <c r="I43" s="31"/>
      <c r="J43" t="s">
        <v>43</v>
      </c>
      <c r="K43" s="58">
        <v>85</v>
      </c>
    </row>
    <row r="44" spans="2:15" ht="14.4">
      <c r="B44" s="16" t="s">
        <v>20</v>
      </c>
      <c r="C44" s="16" t="s">
        <v>45</v>
      </c>
      <c r="D44" s="16">
        <v>4172832610</v>
      </c>
      <c r="E44" s="16" t="s">
        <v>46</v>
      </c>
      <c r="F44" s="14">
        <v>70</v>
      </c>
      <c r="G44" s="33"/>
      <c r="H44" s="32"/>
      <c r="I44" s="31"/>
      <c r="J44" t="s">
        <v>21</v>
      </c>
      <c r="K44" s="58">
        <v>100</v>
      </c>
    </row>
    <row r="45" spans="2:15" ht="14.4">
      <c r="B45" s="31"/>
      <c r="C45" s="31"/>
      <c r="D45" s="31"/>
      <c r="G45" s="31"/>
      <c r="H45" s="31"/>
      <c r="I45" s="31"/>
      <c r="J45" t="s">
        <v>30</v>
      </c>
      <c r="K45" s="58">
        <v>99</v>
      </c>
    </row>
    <row r="46" spans="2:15" ht="14.4">
      <c r="J46" t="s">
        <v>27</v>
      </c>
      <c r="K46" s="58">
        <v>89</v>
      </c>
    </row>
    <row r="47" spans="2:15" ht="14.4">
      <c r="J47" t="s">
        <v>39</v>
      </c>
      <c r="K47" s="58">
        <v>87</v>
      </c>
    </row>
    <row r="48" spans="2:15" ht="14.4">
      <c r="J48" t="s">
        <v>164</v>
      </c>
      <c r="K48" s="58">
        <v>79.777777777777771</v>
      </c>
    </row>
    <row r="49" ht="14.4"/>
    <row r="50" ht="14.4"/>
    <row r="51" ht="14.4"/>
    <row r="52" ht="15" customHeight="1"/>
    <row r="53" ht="15" customHeight="1"/>
    <row r="54" ht="15" customHeight="1"/>
    <row r="55" ht="15" customHeight="1"/>
    <row r="56" ht="15" customHeight="1"/>
    <row r="57" ht="15" customHeight="1"/>
    <row r="58" ht="15" customHeight="1"/>
    <row r="59" ht="15" customHeight="1"/>
    <row r="60" ht="15" customHeight="1"/>
    <row r="61" ht="14.4"/>
    <row r="62" ht="14.4"/>
    <row r="63" ht="14.4"/>
    <row r="64" ht="14.4"/>
    <row r="65" ht="14.4"/>
    <row r="66" ht="14.4"/>
    <row r="67" ht="14.4"/>
    <row r="68" ht="14.4"/>
    <row r="69" ht="14.4"/>
    <row r="70" ht="14.4"/>
    <row r="71" ht="14.4"/>
    <row r="72" ht="14.4"/>
    <row r="73" ht="15" customHeight="1"/>
  </sheetData>
  <mergeCells count="1">
    <mergeCell ref="B9:N12"/>
  </mergeCells>
  <pageMargins left="0.511811024" right="0.511811024" top="0.78740157499999996" bottom="0.78740157499999996" header="0.31496062000000002" footer="0.31496062000000002"/>
  <drawing r:id="rId2"/>
</worksheet>
</file>

<file path=xl/worksheets/sheet9.xml><?xml version="1.0" encoding="utf-8"?>
<worksheet xmlns="http://schemas.openxmlformats.org/spreadsheetml/2006/main" xmlns:r="http://schemas.openxmlformats.org/officeDocument/2006/relationships">
  <dimension ref="A1:T103"/>
  <sheetViews>
    <sheetView showGridLines="0" showRowColHeaders="0" workbookViewId="0"/>
  </sheetViews>
  <sheetFormatPr defaultColWidth="0" defaultRowHeight="15" customHeight="1" zeroHeight="1"/>
  <cols>
    <col min="1" max="1" width="3.6640625" customWidth="1"/>
    <col min="2" max="3" width="8.88671875" customWidth="1"/>
    <col min="4" max="4" width="12" bestFit="1" customWidth="1"/>
    <col min="5" max="9" width="8.88671875" customWidth="1"/>
    <col min="10" max="10" width="14.33203125" customWidth="1"/>
    <col min="11" max="11" width="12" customWidth="1"/>
    <col min="12" max="20" width="8.88671875" customWidth="1"/>
    <col min="21" max="16384" width="8.88671875" hidden="1"/>
  </cols>
  <sheetData>
    <row r="1" spans="2:16" ht="14.4"/>
    <row r="2" spans="2:16" ht="14.4"/>
    <row r="3" spans="2:16" ht="14.4"/>
    <row r="4" spans="2:16" ht="14.4"/>
    <row r="5" spans="2:16" ht="14.4"/>
    <row r="6" spans="2:16" ht="14.4"/>
    <row r="7" spans="2:16" ht="23.4">
      <c r="B7" s="6" t="s">
        <v>172</v>
      </c>
    </row>
    <row r="8" spans="2:16" ht="14.4"/>
    <row r="9" spans="2:16" ht="15" customHeight="1">
      <c r="B9" s="127" t="s">
        <v>194</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B14" s="4"/>
      <c r="C14" s="29"/>
    </row>
    <row r="15" spans="2:16" ht="23.4">
      <c r="B15" s="7" t="s">
        <v>69</v>
      </c>
      <c r="C15" s="29"/>
    </row>
    <row r="16" spans="2:16" ht="14.4"/>
    <row r="17" spans="2:15" ht="14.4">
      <c r="B17" s="4"/>
      <c r="C17" s="137" t="s">
        <v>173</v>
      </c>
      <c r="D17" s="137"/>
      <c r="E17" s="137"/>
      <c r="F17" s="137"/>
      <c r="G17" s="137"/>
      <c r="H17" s="137"/>
      <c r="I17" s="137"/>
      <c r="J17" s="137"/>
      <c r="K17" s="137"/>
      <c r="L17" s="137"/>
      <c r="M17" s="137"/>
      <c r="N17" s="137"/>
      <c r="O17" s="137"/>
    </row>
    <row r="18" spans="2:15" ht="14.4">
      <c r="C18" s="137"/>
      <c r="D18" s="137"/>
      <c r="E18" s="137"/>
      <c r="F18" s="137"/>
      <c r="G18" s="137"/>
      <c r="H18" s="137"/>
      <c r="I18" s="137"/>
      <c r="J18" s="137"/>
      <c r="K18" s="137"/>
      <c r="L18" s="137"/>
      <c r="M18" s="137"/>
      <c r="N18" s="137"/>
      <c r="O18" s="137"/>
    </row>
    <row r="19" spans="2:15" ht="14.4">
      <c r="C19" s="60"/>
      <c r="D19" s="60"/>
      <c r="E19" s="60"/>
      <c r="F19" s="60"/>
      <c r="G19" s="60"/>
      <c r="H19" s="60"/>
      <c r="I19" s="60"/>
      <c r="J19" s="60"/>
      <c r="K19" s="60"/>
      <c r="L19" s="60"/>
      <c r="M19" s="60"/>
      <c r="N19" s="60"/>
      <c r="O19" s="60"/>
    </row>
    <row r="20" spans="2:15" ht="23.4">
      <c r="B20" s="7" t="s">
        <v>72</v>
      </c>
    </row>
    <row r="21" spans="2:15" ht="14.4"/>
    <row r="22" spans="2:15" ht="14.4">
      <c r="B22" s="1" t="s">
        <v>7</v>
      </c>
    </row>
    <row r="23" spans="2:15" ht="14.4">
      <c r="B23" s="1"/>
    </row>
    <row r="24" spans="2:15" ht="14.4">
      <c r="B24" s="1" t="s">
        <v>167</v>
      </c>
      <c r="C24" t="s">
        <v>174</v>
      </c>
    </row>
    <row r="25" spans="2:15" ht="14.4">
      <c r="B25" s="1"/>
    </row>
    <row r="26" spans="2:15" ht="14.4">
      <c r="B26" s="1"/>
    </row>
    <row r="27" spans="2:15" ht="14.4"/>
    <row r="28" spans="2:15" ht="14.4"/>
    <row r="29" spans="2:15" ht="14.4"/>
    <row r="30" spans="2:15" ht="14.4"/>
    <row r="31" spans="2:15" ht="14.4">
      <c r="B31" s="1"/>
    </row>
    <row r="32" spans="2:15" ht="14.4">
      <c r="B32" s="1"/>
    </row>
    <row r="33" spans="2:17" ht="14.4">
      <c r="B33" s="1"/>
    </row>
    <row r="34" spans="2:17" ht="14.4">
      <c r="B34" s="1" t="s">
        <v>169</v>
      </c>
      <c r="C34" t="s">
        <v>175</v>
      </c>
    </row>
    <row r="35" spans="2:17" ht="14.4">
      <c r="B35" s="1"/>
    </row>
    <row r="36" spans="2:17" ht="14.4">
      <c r="B36" s="1"/>
    </row>
    <row r="37" spans="2:17" ht="14.4">
      <c r="B37" s="1"/>
      <c r="N37" s="138" t="s">
        <v>176</v>
      </c>
      <c r="O37" s="139"/>
      <c r="P37" s="139"/>
      <c r="Q37" s="140"/>
    </row>
    <row r="38" spans="2:17" ht="14.4">
      <c r="B38" s="1"/>
      <c r="N38" s="141"/>
      <c r="O38" s="142"/>
      <c r="P38" s="142"/>
      <c r="Q38" s="143"/>
    </row>
    <row r="39" spans="2:17" ht="14.4">
      <c r="B39" s="1"/>
      <c r="N39" s="144"/>
      <c r="O39" s="145"/>
      <c r="P39" s="145"/>
      <c r="Q39" s="146"/>
    </row>
    <row r="40" spans="2:17" ht="14.4">
      <c r="B40" s="1"/>
    </row>
    <row r="41" spans="2:17" ht="14.4">
      <c r="B41" s="1"/>
    </row>
    <row r="42" spans="2:17" ht="14.4">
      <c r="B42" s="1"/>
    </row>
    <row r="43" spans="2:17" ht="14.4">
      <c r="B43" s="1"/>
    </row>
    <row r="44" spans="2:17" ht="14.4">
      <c r="B44" s="1"/>
    </row>
    <row r="45" spans="2:17" ht="14.4">
      <c r="B45" s="1"/>
    </row>
    <row r="46" spans="2:17" ht="14.4">
      <c r="B46" s="1"/>
    </row>
    <row r="47" spans="2:17" ht="14.4">
      <c r="B47" s="1"/>
    </row>
    <row r="48" spans="2:17" ht="14.4">
      <c r="B48" s="1"/>
    </row>
    <row r="49" spans="2:15" ht="14.4">
      <c r="B49" s="1"/>
    </row>
    <row r="50" spans="2:15" ht="14.4">
      <c r="B50" s="1"/>
    </row>
    <row r="51" spans="2:15" ht="14.4">
      <c r="B51" s="1"/>
    </row>
    <row r="52" spans="2:15" ht="14.4">
      <c r="B52" s="1"/>
    </row>
    <row r="53" spans="2:15" ht="14.4">
      <c r="B53" s="1"/>
    </row>
    <row r="54" spans="2:15" ht="14.4">
      <c r="B54" s="147" t="s">
        <v>177</v>
      </c>
      <c r="C54" s="148"/>
      <c r="D54" s="148"/>
      <c r="E54" s="148"/>
      <c r="F54" s="148"/>
      <c r="G54" s="148"/>
      <c r="H54" s="148"/>
      <c r="I54" s="148"/>
      <c r="J54" s="149"/>
    </row>
    <row r="55" spans="2:15" ht="14.4">
      <c r="B55" s="150"/>
      <c r="C55" s="151"/>
      <c r="D55" s="151"/>
      <c r="E55" s="151"/>
      <c r="F55" s="151"/>
      <c r="G55" s="151"/>
      <c r="H55" s="151"/>
      <c r="I55" s="151"/>
      <c r="J55" s="152"/>
    </row>
    <row r="56" spans="2:15" ht="14.4">
      <c r="B56" s="153"/>
      <c r="C56" s="154"/>
      <c r="D56" s="154"/>
      <c r="E56" s="154"/>
      <c r="F56" s="154"/>
      <c r="G56" s="154"/>
      <c r="H56" s="154"/>
      <c r="I56" s="154"/>
      <c r="J56" s="155"/>
    </row>
    <row r="57" spans="2:15" ht="14.4">
      <c r="B57" s="66"/>
      <c r="C57" s="61"/>
      <c r="D57" s="61"/>
      <c r="E57" s="61"/>
      <c r="F57" s="61"/>
      <c r="G57" s="61"/>
      <c r="H57" s="61"/>
      <c r="J57" s="1"/>
    </row>
    <row r="58" spans="2:15" ht="14.4">
      <c r="B58" s="61"/>
      <c r="C58" s="61"/>
      <c r="D58" s="61"/>
      <c r="E58" s="61"/>
      <c r="F58" s="61"/>
      <c r="G58" s="61"/>
      <c r="H58" s="61"/>
      <c r="J58" s="48"/>
      <c r="K58" s="48"/>
      <c r="L58" s="48"/>
    </row>
    <row r="59" spans="2:15" ht="14.4">
      <c r="B59" s="61"/>
      <c r="C59" s="61"/>
      <c r="D59" s="61"/>
      <c r="E59" s="61"/>
      <c r="F59" s="61"/>
      <c r="G59" s="61"/>
      <c r="H59" s="61"/>
      <c r="J59" s="48"/>
      <c r="K59" s="48"/>
      <c r="L59" s="48"/>
    </row>
    <row r="60" spans="2:15" ht="14.4">
      <c r="B60" s="62"/>
      <c r="C60" s="62"/>
      <c r="D60" s="62"/>
      <c r="E60" s="62"/>
      <c r="F60" s="62"/>
      <c r="G60" s="63"/>
      <c r="H60" s="63"/>
      <c r="I60" s="30"/>
      <c r="J60" s="50"/>
      <c r="K60" s="50"/>
      <c r="L60" s="51"/>
      <c r="M60" s="31"/>
      <c r="N60" s="31"/>
      <c r="O60" s="31"/>
    </row>
    <row r="61" spans="2:15" ht="14.4">
      <c r="B61" s="61"/>
      <c r="C61" s="61"/>
      <c r="D61" s="61"/>
      <c r="E61" s="61"/>
      <c r="F61" s="64"/>
      <c r="G61" s="65"/>
      <c r="H61" s="65"/>
      <c r="I61" s="34"/>
      <c r="J61" s="55"/>
      <c r="K61" s="46"/>
      <c r="L61" s="47"/>
      <c r="M61" s="31"/>
      <c r="N61" s="31"/>
      <c r="O61" s="31"/>
    </row>
    <row r="62" spans="2:15" ht="14.4">
      <c r="B62" s="61"/>
      <c r="C62" s="61"/>
      <c r="D62" s="61"/>
      <c r="E62" s="61"/>
      <c r="F62" s="64"/>
      <c r="G62" s="65"/>
      <c r="H62" s="61"/>
      <c r="I62" s="31"/>
    </row>
    <row r="63" spans="2:15" ht="14.4">
      <c r="B63" s="61"/>
      <c r="C63" s="61"/>
      <c r="D63" s="61"/>
      <c r="E63" s="61"/>
      <c r="F63" s="64"/>
      <c r="G63" s="65"/>
      <c r="H63" s="61"/>
      <c r="I63" s="31"/>
    </row>
    <row r="64" spans="2:15" ht="14.4">
      <c r="B64" s="61"/>
      <c r="C64" s="61"/>
      <c r="D64" s="61"/>
      <c r="E64" s="61"/>
      <c r="F64" s="64"/>
      <c r="G64" s="65"/>
      <c r="H64" s="61"/>
      <c r="I64" s="31"/>
      <c r="K64" s="58"/>
    </row>
    <row r="65" spans="2:12" ht="14.4">
      <c r="B65" s="61"/>
      <c r="C65" s="61"/>
      <c r="D65" s="61"/>
      <c r="E65" s="61"/>
      <c r="F65" s="64"/>
      <c r="G65" s="65"/>
      <c r="H65" s="67"/>
      <c r="I65" s="45"/>
      <c r="K65" s="58"/>
    </row>
    <row r="66" spans="2:12" ht="14.4">
      <c r="B66" s="61"/>
      <c r="C66" s="61"/>
      <c r="D66" s="61"/>
      <c r="E66" s="61"/>
      <c r="F66" s="64"/>
      <c r="G66" s="65"/>
      <c r="H66" s="67"/>
      <c r="I66" s="45"/>
      <c r="J66" t="s">
        <v>178</v>
      </c>
      <c r="K66" s="58"/>
    </row>
    <row r="67" spans="2:12" ht="14.4">
      <c r="B67" s="61"/>
      <c r="C67" s="61"/>
      <c r="D67" s="61"/>
      <c r="E67" s="61"/>
      <c r="F67" s="64"/>
      <c r="G67" s="65"/>
      <c r="H67" s="61"/>
      <c r="I67" s="31"/>
      <c r="K67" s="58"/>
    </row>
    <row r="68" spans="2:12" ht="14.4">
      <c r="B68" s="61"/>
      <c r="C68" s="61"/>
      <c r="D68" s="61"/>
      <c r="E68" s="61"/>
      <c r="F68" s="64"/>
      <c r="G68" s="65"/>
      <c r="H68" s="61"/>
      <c r="I68" s="31"/>
      <c r="K68" s="58"/>
    </row>
    <row r="69" spans="2:12" ht="14.4">
      <c r="B69" s="61"/>
      <c r="C69" s="61"/>
      <c r="D69" s="61"/>
      <c r="E69" s="61"/>
      <c r="F69" s="64"/>
      <c r="G69" s="65"/>
      <c r="H69" s="61"/>
      <c r="I69" s="31"/>
      <c r="K69" s="58"/>
    </row>
    <row r="70" spans="2:12" ht="14.4">
      <c r="B70" s="61"/>
      <c r="C70" s="61"/>
      <c r="D70" s="61"/>
      <c r="E70" s="61"/>
      <c r="F70" s="61"/>
      <c r="G70" s="61"/>
      <c r="H70" s="61"/>
      <c r="I70" s="31"/>
      <c r="K70" s="58"/>
    </row>
    <row r="71" spans="2:12" ht="14.4">
      <c r="B71" s="61"/>
      <c r="C71" s="61"/>
      <c r="D71" s="61"/>
      <c r="E71" s="61"/>
      <c r="F71" s="61"/>
      <c r="G71" s="61"/>
      <c r="H71" s="61"/>
      <c r="K71" s="58"/>
    </row>
    <row r="72" spans="2:12" ht="14.4">
      <c r="B72" s="61"/>
      <c r="C72" s="61"/>
      <c r="D72" s="61"/>
      <c r="E72" s="61"/>
      <c r="F72" s="61"/>
      <c r="G72" s="61"/>
      <c r="H72" s="61"/>
      <c r="K72" s="58"/>
    </row>
    <row r="73" spans="2:12" ht="14.4">
      <c r="B73" s="61"/>
      <c r="C73" s="61"/>
      <c r="D73" s="61"/>
      <c r="E73" s="61"/>
      <c r="F73" s="61"/>
      <c r="G73" s="61"/>
      <c r="H73" s="61"/>
      <c r="K73" s="58"/>
      <c r="L73" t="s">
        <v>179</v>
      </c>
    </row>
    <row r="74" spans="2:12" ht="14.4"/>
    <row r="75" spans="2:12" ht="14.4"/>
    <row r="76" spans="2:12" ht="14.4"/>
    <row r="77" spans="2:12" ht="14.4"/>
    <row r="78" spans="2:12" ht="14.4"/>
    <row r="79" spans="2:12" ht="14.4"/>
    <row r="80" spans="2:12" ht="14.4"/>
    <row r="81" spans="12:14" ht="14.4"/>
    <row r="82" spans="12:14" ht="14.4"/>
    <row r="83" spans="12:14" ht="14.4">
      <c r="L83" t="s">
        <v>180</v>
      </c>
    </row>
    <row r="84" spans="12:14" ht="14.4"/>
    <row r="85" spans="12:14" ht="14.4">
      <c r="L85" s="1" t="s">
        <v>181</v>
      </c>
      <c r="N85" t="s">
        <v>183</v>
      </c>
    </row>
    <row r="86" spans="12:14" ht="14.4">
      <c r="L86" s="1" t="s">
        <v>182</v>
      </c>
      <c r="N86" t="s">
        <v>184</v>
      </c>
    </row>
    <row r="87" spans="12:14" ht="14.4"/>
    <row r="88" spans="12:14" ht="14.4"/>
    <row r="89" spans="12:14" ht="14.4"/>
    <row r="90" spans="12:14" ht="14.4"/>
    <row r="91" spans="12:14" ht="14.4"/>
    <row r="92" spans="12:14" ht="14.4"/>
    <row r="93" spans="12:14" ht="14.4"/>
    <row r="94" spans="12:14" ht="14.4"/>
    <row r="95" spans="12:14" ht="14.4"/>
    <row r="96" spans="12:14" ht="14.4"/>
    <row r="97" ht="14.4"/>
    <row r="98" ht="14.4"/>
    <row r="99" ht="15" customHeight="1"/>
    <row r="100" ht="15" customHeight="1"/>
    <row r="101" ht="15" customHeight="1"/>
    <row r="102" ht="15" customHeight="1"/>
    <row r="103" ht="15" customHeight="1"/>
  </sheetData>
  <mergeCells count="4">
    <mergeCell ref="B9:L12"/>
    <mergeCell ref="C17:O18"/>
    <mergeCell ref="N37:Q39"/>
    <mergeCell ref="B54:J56"/>
  </mergeCells>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dimension ref="B1:P103"/>
  <sheetViews>
    <sheetView showGridLines="0" showRowColHeaders="0" topLeftCell="F1" workbookViewId="0"/>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2" customWidth="1"/>
  </cols>
  <sheetData>
    <row r="1" spans="2:16" ht="14.4"/>
    <row r="2" spans="2:16" ht="14.4"/>
    <row r="3" spans="2:16" ht="14.4"/>
    <row r="4" spans="2:16" ht="14.4"/>
    <row r="5" spans="2:16" ht="14.4"/>
    <row r="6" spans="2:16" ht="14.4"/>
    <row r="7" spans="2:16" ht="23.4">
      <c r="B7" s="6" t="s">
        <v>185</v>
      </c>
    </row>
    <row r="8" spans="2:16" ht="14.4"/>
    <row r="9" spans="2:16" ht="14.4">
      <c r="B9" s="127" t="s">
        <v>186</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B14" s="4"/>
      <c r="C14" s="29"/>
    </row>
    <row r="15" spans="2:16" ht="23.4">
      <c r="B15" s="7" t="s">
        <v>69</v>
      </c>
      <c r="C15" s="29"/>
    </row>
    <row r="16" spans="2:16" ht="14.4"/>
    <row r="17" spans="2:15" ht="14.4">
      <c r="B17" s="4"/>
      <c r="C17" s="137" t="s">
        <v>195</v>
      </c>
      <c r="D17" s="137"/>
      <c r="E17" s="137"/>
      <c r="F17" s="137"/>
      <c r="G17" s="137"/>
      <c r="H17" s="137"/>
      <c r="I17" s="137"/>
      <c r="J17" s="137"/>
      <c r="K17" s="137"/>
      <c r="L17" s="137"/>
      <c r="M17" s="137"/>
      <c r="N17" s="137"/>
      <c r="O17" s="137"/>
    </row>
    <row r="18" spans="2:15" ht="14.4">
      <c r="C18" s="137"/>
      <c r="D18" s="137"/>
      <c r="E18" s="137"/>
      <c r="F18" s="137"/>
      <c r="G18" s="137"/>
      <c r="H18" s="137"/>
      <c r="I18" s="137"/>
      <c r="J18" s="137"/>
      <c r="K18" s="137"/>
      <c r="L18" s="137"/>
      <c r="M18" s="137"/>
      <c r="N18" s="137"/>
      <c r="O18" s="137"/>
    </row>
    <row r="19" spans="2:15" ht="14.4">
      <c r="C19" s="60"/>
      <c r="D19" s="60"/>
      <c r="E19" s="60"/>
      <c r="F19" s="60"/>
      <c r="G19" s="60"/>
      <c r="H19" s="60"/>
      <c r="I19" s="60"/>
      <c r="J19" s="60"/>
      <c r="K19" s="60"/>
      <c r="L19" s="60"/>
      <c r="M19" s="60"/>
      <c r="N19" s="60"/>
      <c r="O19" s="60"/>
    </row>
    <row r="20" spans="2:15" ht="23.4">
      <c r="B20" s="7" t="s">
        <v>72</v>
      </c>
    </row>
    <row r="21" spans="2:15" ht="14.4"/>
    <row r="22" spans="2:15" ht="15" customHeight="1">
      <c r="I22" s="76"/>
    </row>
    <row r="23" spans="2:15" ht="15" customHeight="1">
      <c r="G23" t="s">
        <v>198</v>
      </c>
    </row>
    <row r="24" spans="2:15" ht="15" customHeight="1"/>
    <row r="25" spans="2:15" ht="15" customHeight="1">
      <c r="B25" s="15" t="s">
        <v>8</v>
      </c>
      <c r="C25" s="15" t="s">
        <v>9</v>
      </c>
      <c r="D25" s="15" t="s">
        <v>10</v>
      </c>
      <c r="E25" s="15" t="s">
        <v>11</v>
      </c>
      <c r="F25" s="15" t="s">
        <v>66</v>
      </c>
    </row>
    <row r="26" spans="2:15" ht="15" customHeight="1">
      <c r="B26" s="16" t="s">
        <v>20</v>
      </c>
      <c r="C26" s="16" t="s">
        <v>21</v>
      </c>
      <c r="D26" s="16">
        <v>6952214933</v>
      </c>
      <c r="E26" s="16" t="s">
        <v>22</v>
      </c>
      <c r="F26" s="14">
        <v>100</v>
      </c>
      <c r="H26" s="1"/>
      <c r="K26" s="1" t="s">
        <v>82</v>
      </c>
    </row>
    <row r="27" spans="2:15" ht="15" customHeight="1">
      <c r="B27" s="16" t="s">
        <v>20</v>
      </c>
      <c r="C27" s="16" t="s">
        <v>27</v>
      </c>
      <c r="D27" s="16">
        <v>11290307768</v>
      </c>
      <c r="E27" s="16" t="s">
        <v>28</v>
      </c>
      <c r="F27" s="14">
        <v>89</v>
      </c>
      <c r="H27" s="77">
        <v>11290307768</v>
      </c>
      <c r="I27" s="1" t="b">
        <f>IF(H27=D27,TRUE,FALSE)</f>
        <v>1</v>
      </c>
      <c r="K27" s="10" t="s">
        <v>196</v>
      </c>
    </row>
    <row r="28" spans="2:15" ht="15" customHeight="1">
      <c r="B28" s="16" t="s">
        <v>20</v>
      </c>
      <c r="C28" s="16" t="s">
        <v>30</v>
      </c>
      <c r="D28" s="16">
        <v>34697625897</v>
      </c>
      <c r="E28" s="16" t="s">
        <v>31</v>
      </c>
      <c r="F28" s="14">
        <v>99</v>
      </c>
    </row>
    <row r="29" spans="2:15" ht="15" customHeight="1">
      <c r="B29" s="16" t="s">
        <v>20</v>
      </c>
      <c r="C29" s="16" t="s">
        <v>33</v>
      </c>
      <c r="D29" s="16">
        <v>26669129300</v>
      </c>
      <c r="E29" s="16" t="s">
        <v>34</v>
      </c>
      <c r="F29" s="14">
        <v>100</v>
      </c>
    </row>
    <row r="30" spans="2:15" ht="15" customHeight="1">
      <c r="B30" s="16" t="s">
        <v>20</v>
      </c>
      <c r="C30" s="16" t="s">
        <v>36</v>
      </c>
      <c r="D30" s="16">
        <v>21892938804</v>
      </c>
      <c r="E30" s="16" t="s">
        <v>37</v>
      </c>
      <c r="F30" s="14">
        <v>0</v>
      </c>
    </row>
    <row r="31" spans="2:15" ht="15" customHeight="1">
      <c r="B31" s="16" t="s">
        <v>20</v>
      </c>
      <c r="C31" s="16" t="s">
        <v>39</v>
      </c>
      <c r="D31" s="16">
        <v>69906505168</v>
      </c>
      <c r="E31" s="16" t="s">
        <v>40</v>
      </c>
      <c r="F31" s="14">
        <v>87</v>
      </c>
      <c r="I31" s="1" t="s">
        <v>197</v>
      </c>
    </row>
    <row r="32" spans="2:15" ht="15" customHeight="1">
      <c r="B32" s="16" t="s">
        <v>20</v>
      </c>
      <c r="C32" s="16" t="s">
        <v>41</v>
      </c>
      <c r="D32" s="16">
        <v>91139066153</v>
      </c>
      <c r="E32" s="16" t="s">
        <v>42</v>
      </c>
      <c r="F32" s="14">
        <v>88</v>
      </c>
    </row>
    <row r="33" spans="2:10" ht="15" customHeight="1">
      <c r="B33" s="16" t="s">
        <v>20</v>
      </c>
      <c r="C33" s="16" t="s">
        <v>43</v>
      </c>
      <c r="D33" s="16">
        <v>12654094472</v>
      </c>
      <c r="E33" s="16" t="s">
        <v>44</v>
      </c>
      <c r="F33" s="14">
        <v>85</v>
      </c>
    </row>
    <row r="34" spans="2:10" ht="15" customHeight="1">
      <c r="B34" s="16" t="s">
        <v>20</v>
      </c>
      <c r="C34" s="16" t="s">
        <v>45</v>
      </c>
      <c r="D34" s="16">
        <v>4172832610</v>
      </c>
      <c r="E34" s="16" t="s">
        <v>46</v>
      </c>
      <c r="F34" s="14">
        <v>70</v>
      </c>
      <c r="I34" s="156" t="s">
        <v>199</v>
      </c>
      <c r="J34" s="157"/>
    </row>
    <row r="35" spans="2:10" ht="15" customHeight="1">
      <c r="I35" s="78" t="s">
        <v>200</v>
      </c>
      <c r="J35" s="77" t="s">
        <v>205</v>
      </c>
    </row>
    <row r="36" spans="2:10" ht="15" customHeight="1">
      <c r="I36" s="78" t="s">
        <v>201</v>
      </c>
      <c r="J36" s="77" t="s">
        <v>204</v>
      </c>
    </row>
    <row r="37" spans="2:10" ht="15" customHeight="1">
      <c r="I37" s="78" t="s">
        <v>202</v>
      </c>
      <c r="J37" s="77" t="s">
        <v>206</v>
      </c>
    </row>
    <row r="38" spans="2:10" ht="15" customHeight="1">
      <c r="I38" s="78" t="s">
        <v>203</v>
      </c>
      <c r="J38" s="77" t="s">
        <v>207</v>
      </c>
    </row>
    <row r="39" spans="2:10" ht="15" customHeight="1">
      <c r="I39" s="78" t="s">
        <v>208</v>
      </c>
      <c r="J39" s="77" t="s">
        <v>210</v>
      </c>
    </row>
    <row r="40" spans="2:10" ht="15" customHeight="1">
      <c r="I40" s="78" t="s">
        <v>209</v>
      </c>
      <c r="J40" s="77" t="s">
        <v>211</v>
      </c>
    </row>
    <row r="41" spans="2:10" ht="15" customHeight="1">
      <c r="I41" s="78"/>
      <c r="J41" s="123"/>
    </row>
    <row r="42" spans="2:10" ht="15" customHeight="1"/>
    <row r="43" spans="2:10" ht="15" customHeight="1"/>
    <row r="44" spans="2:10" ht="15" customHeight="1"/>
    <row r="45" spans="2:10" ht="15" customHeight="1"/>
    <row r="46" spans="2:10" ht="15" customHeight="1"/>
    <row r="47" spans="2:10" ht="15" customHeight="1"/>
    <row r="48" spans="2:10"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sheetData>
  <mergeCells count="3">
    <mergeCell ref="B9:L12"/>
    <mergeCell ref="C17:O18"/>
    <mergeCell ref="I34:J34"/>
  </mergeCells>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dimension ref="B1:P103"/>
  <sheetViews>
    <sheetView showGridLines="0" showRowColHeaders="0" workbookViewId="0">
      <selection activeCell="K8" sqref="K8"/>
    </sheetView>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2" customWidth="1"/>
  </cols>
  <sheetData>
    <row r="1" spans="2:16" ht="14.4"/>
    <row r="2" spans="2:16" ht="14.4"/>
    <row r="3" spans="2:16" ht="14.4"/>
    <row r="4" spans="2:16" ht="14.4"/>
    <row r="5" spans="2:16" ht="14.4"/>
    <row r="6" spans="2:16" ht="14.4"/>
    <row r="7" spans="2:16" ht="23.4">
      <c r="B7" s="6" t="s">
        <v>212</v>
      </c>
    </row>
    <row r="8" spans="2:16" ht="14.4"/>
    <row r="9" spans="2:16" ht="14.4">
      <c r="B9" s="127" t="s">
        <v>213</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B14" s="4"/>
      <c r="C14" s="29"/>
    </row>
    <row r="15" spans="2:16" ht="23.4">
      <c r="B15" s="7" t="s">
        <v>69</v>
      </c>
      <c r="C15" s="29"/>
    </row>
    <row r="16" spans="2:16" ht="14.4"/>
    <row r="17" spans="2:15" ht="14.4">
      <c r="B17" s="4"/>
      <c r="C17" s="137" t="s">
        <v>214</v>
      </c>
      <c r="D17" s="137"/>
      <c r="E17" s="137"/>
      <c r="F17" s="137"/>
      <c r="G17" s="137"/>
      <c r="H17" s="137"/>
      <c r="I17" s="137"/>
      <c r="J17" s="137"/>
      <c r="K17" s="137"/>
      <c r="L17" s="137"/>
      <c r="M17" s="137"/>
      <c r="N17" s="137"/>
      <c r="O17" s="137"/>
    </row>
    <row r="18" spans="2:15" ht="14.4">
      <c r="C18" s="137"/>
      <c r="D18" s="137"/>
      <c r="E18" s="137"/>
      <c r="F18" s="137"/>
      <c r="G18" s="137"/>
      <c r="H18" s="137"/>
      <c r="I18" s="137"/>
      <c r="J18" s="137"/>
      <c r="K18" s="137"/>
      <c r="L18" s="137"/>
      <c r="M18" s="137"/>
      <c r="N18" s="137"/>
      <c r="O18" s="137"/>
    </row>
    <row r="19" spans="2:15" ht="14.4">
      <c r="C19" s="68"/>
      <c r="D19" s="68"/>
      <c r="E19" s="68"/>
      <c r="F19" s="68"/>
      <c r="G19" s="68"/>
      <c r="H19" s="68"/>
      <c r="I19" s="68"/>
      <c r="J19" s="68"/>
      <c r="K19" s="68"/>
      <c r="L19" s="68"/>
      <c r="M19" s="68"/>
      <c r="N19" s="68"/>
      <c r="O19" s="68"/>
    </row>
    <row r="20" spans="2:15" ht="23.4">
      <c r="B20" s="7" t="s">
        <v>72</v>
      </c>
    </row>
    <row r="21" spans="2:15" ht="14.4"/>
    <row r="22" spans="2:15" ht="14.4">
      <c r="I22" s="76"/>
      <c r="L22" t="s">
        <v>82</v>
      </c>
    </row>
    <row r="23" spans="2:15" ht="14.4">
      <c r="H23" s="1" t="s">
        <v>215</v>
      </c>
    </row>
    <row r="24" spans="2:15" ht="14.4"/>
    <row r="25" spans="2:15" ht="14.4">
      <c r="B25" s="15" t="s">
        <v>8</v>
      </c>
      <c r="C25" s="15" t="s">
        <v>9</v>
      </c>
      <c r="D25" s="15" t="s">
        <v>10</v>
      </c>
      <c r="E25" s="15" t="s">
        <v>11</v>
      </c>
      <c r="F25" s="15" t="s">
        <v>66</v>
      </c>
      <c r="H25" s="73" t="str">
        <f>LEFT(B26,4)</f>
        <v>João</v>
      </c>
      <c r="L25" s="79" t="s">
        <v>217</v>
      </c>
    </row>
    <row r="26" spans="2:15" ht="14.4">
      <c r="B26" s="16" t="s">
        <v>20</v>
      </c>
      <c r="C26" s="16" t="s">
        <v>21</v>
      </c>
      <c r="D26" s="16">
        <v>6952214933</v>
      </c>
      <c r="E26" s="16" t="s">
        <v>22</v>
      </c>
      <c r="F26" s="14">
        <v>100</v>
      </c>
    </row>
    <row r="27" spans="2:15" ht="14.4">
      <c r="B27" s="16" t="s">
        <v>20</v>
      </c>
      <c r="C27" s="16" t="s">
        <v>27</v>
      </c>
      <c r="D27" s="16">
        <v>11290307768</v>
      </c>
      <c r="E27" s="16" t="s">
        <v>28</v>
      </c>
      <c r="F27" s="14">
        <v>89</v>
      </c>
      <c r="H27" s="1" t="s">
        <v>216</v>
      </c>
    </row>
    <row r="28" spans="2:15" ht="14.4">
      <c r="B28" s="16" t="s">
        <v>20</v>
      </c>
      <c r="C28" s="16" t="s">
        <v>30</v>
      </c>
      <c r="D28" s="16">
        <v>34697625897</v>
      </c>
      <c r="E28" s="16" t="s">
        <v>31</v>
      </c>
      <c r="F28" s="14">
        <v>99</v>
      </c>
    </row>
    <row r="29" spans="2:15" ht="14.4">
      <c r="B29" s="16" t="s">
        <v>20</v>
      </c>
      <c r="C29" s="16" t="s">
        <v>33</v>
      </c>
      <c r="D29" s="16">
        <v>26669129300</v>
      </c>
      <c r="E29" s="16" t="s">
        <v>34</v>
      </c>
      <c r="F29" s="14">
        <v>100</v>
      </c>
      <c r="H29" s="73" t="str">
        <f>LEFT(D26,4)</f>
        <v>6952</v>
      </c>
      <c r="L29" s="79" t="s">
        <v>218</v>
      </c>
    </row>
    <row r="30" spans="2:15" ht="14.4">
      <c r="B30" s="16" t="s">
        <v>20</v>
      </c>
      <c r="C30" s="16" t="s">
        <v>36</v>
      </c>
      <c r="D30" s="16">
        <v>21892938804</v>
      </c>
      <c r="E30" s="16" t="s">
        <v>37</v>
      </c>
      <c r="F30" s="14">
        <v>0</v>
      </c>
    </row>
    <row r="31" spans="2:15" ht="14.4">
      <c r="B31" s="16" t="s">
        <v>20</v>
      </c>
      <c r="C31" s="16" t="s">
        <v>39</v>
      </c>
      <c r="D31" s="16">
        <v>69906505168</v>
      </c>
      <c r="E31" s="16" t="s">
        <v>40</v>
      </c>
      <c r="F31" s="14">
        <v>87</v>
      </c>
    </row>
    <row r="32" spans="2:15" ht="14.4">
      <c r="B32" s="16" t="s">
        <v>20</v>
      </c>
      <c r="C32" s="16" t="s">
        <v>41</v>
      </c>
      <c r="D32" s="16">
        <v>91139066153</v>
      </c>
      <c r="E32" s="16" t="s">
        <v>42</v>
      </c>
      <c r="F32" s="14">
        <v>88</v>
      </c>
      <c r="L32" s="80" t="s">
        <v>219</v>
      </c>
      <c r="M32" s="80" t="s">
        <v>220</v>
      </c>
    </row>
    <row r="33" spans="2:6" ht="14.4">
      <c r="B33" s="16" t="s">
        <v>20</v>
      </c>
      <c r="C33" s="16" t="s">
        <v>43</v>
      </c>
      <c r="D33" s="16">
        <v>12654094472</v>
      </c>
      <c r="E33" s="16" t="s">
        <v>44</v>
      </c>
      <c r="F33" s="14">
        <v>85</v>
      </c>
    </row>
    <row r="34" spans="2:6" ht="14.4">
      <c r="B34" s="16" t="s">
        <v>20</v>
      </c>
      <c r="C34" s="16" t="s">
        <v>45</v>
      </c>
      <c r="D34" s="16">
        <v>4172832610</v>
      </c>
      <c r="E34" s="16" t="s">
        <v>46</v>
      </c>
      <c r="F34" s="14">
        <v>70</v>
      </c>
    </row>
    <row r="35" spans="2:6" ht="14.4"/>
    <row r="36" spans="2:6" ht="14.4"/>
    <row r="37" spans="2:6" ht="14.4"/>
    <row r="38" spans="2:6" ht="14.4"/>
    <row r="39" spans="2:6" ht="14.4"/>
    <row r="40" spans="2:6" ht="14.4">
      <c r="D40" s="81"/>
    </row>
    <row r="41" spans="2:6" ht="14.4"/>
    <row r="42" spans="2:6" ht="14.4"/>
    <row r="43" spans="2:6" ht="14.4" hidden="1"/>
    <row r="44" spans="2:6" ht="14.4" hidden="1"/>
    <row r="45" spans="2:6" ht="14.4" hidden="1"/>
    <row r="46" spans="2:6" ht="14.4" hidden="1"/>
    <row r="47" spans="2:6" ht="14.4" hidden="1"/>
    <row r="48" spans="2:6" ht="14.4" hidden="1"/>
    <row r="49" ht="14.4" hidden="1"/>
    <row r="50" ht="14.4" hidden="1"/>
    <row r="51" ht="14.4" hidden="1"/>
    <row r="52" ht="14.4" hidden="1"/>
    <row r="53" ht="14.4" hidden="1"/>
    <row r="54" ht="14.4" hidden="1"/>
    <row r="55" ht="14.4" hidden="1"/>
    <row r="56" ht="14.4" hidden="1"/>
    <row r="57" ht="14.4" hidden="1"/>
    <row r="58" ht="14.4" hidden="1"/>
    <row r="59" ht="14.4" hidden="1"/>
    <row r="60" ht="14.4" hidden="1"/>
    <row r="61" ht="14.4" hidden="1"/>
    <row r="62" ht="14.4" hidden="1"/>
    <row r="63" ht="14.4" hidden="1"/>
    <row r="64" ht="14.4" hidden="1"/>
    <row r="65" ht="14.4" hidden="1"/>
    <row r="66" ht="14.4" hidden="1"/>
    <row r="67" ht="14.4" hidden="1"/>
    <row r="68" ht="14.4" hidden="1"/>
    <row r="69" ht="14.4" hidden="1"/>
    <row r="70" ht="14.4" hidden="1"/>
    <row r="71" ht="14.4" hidden="1"/>
    <row r="72" ht="14.4" hidden="1"/>
    <row r="73" ht="14.4" hidden="1"/>
    <row r="74" ht="14.4" hidden="1"/>
    <row r="75" ht="14.4" hidden="1"/>
    <row r="76" ht="14.4" hidden="1"/>
    <row r="77" ht="14.4" hidden="1"/>
    <row r="78" ht="14.4" hidden="1"/>
    <row r="79" ht="14.4" hidden="1"/>
    <row r="80" ht="14.4" hidden="1"/>
    <row r="81" ht="14.4" hidden="1"/>
    <row r="82" ht="14.4" hidden="1"/>
    <row r="83" ht="14.4" hidden="1"/>
    <row r="84" ht="14.4" hidden="1"/>
    <row r="85" ht="14.4" hidden="1"/>
    <row r="86" ht="14.4" hidden="1"/>
    <row r="87" ht="14.4" hidden="1"/>
    <row r="88" ht="14.4" hidden="1"/>
    <row r="89" ht="14.4" hidden="1"/>
    <row r="90" ht="14.4" hidden="1"/>
    <row r="91" ht="14.4" hidden="1"/>
    <row r="92" ht="14.4" hidden="1"/>
    <row r="93" ht="14.4" hidden="1"/>
    <row r="94" ht="14.4" hidden="1"/>
    <row r="95" ht="14.4" hidden="1"/>
    <row r="96" ht="14.4" hidden="1"/>
    <row r="97" ht="14.4" hidden="1"/>
    <row r="98" ht="14.4" hidden="1"/>
    <row r="99" ht="14.4" hidden="1"/>
    <row r="100" ht="14.4" hidden="1"/>
    <row r="101" ht="14.4" hidden="1"/>
    <row r="102" ht="14.4" hidden="1"/>
    <row r="103" ht="14.4" hidden="1"/>
  </sheetData>
  <mergeCells count="2">
    <mergeCell ref="B9:L12"/>
    <mergeCell ref="C17:O18"/>
  </mergeCells>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dimension ref="B1:P103"/>
  <sheetViews>
    <sheetView showGridLines="0" showRowColHeaders="0" topLeftCell="F1" workbookViewId="0"/>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2" customWidth="1"/>
  </cols>
  <sheetData>
    <row r="1" spans="2:16" ht="14.4"/>
    <row r="2" spans="2:16" ht="14.4"/>
    <row r="3" spans="2:16" ht="14.4"/>
    <row r="4" spans="2:16" ht="14.4"/>
    <row r="5" spans="2:16" ht="14.4"/>
    <row r="6" spans="2:16" ht="14.4"/>
    <row r="7" spans="2:16" ht="23.4">
      <c r="B7" s="6" t="s">
        <v>221</v>
      </c>
    </row>
    <row r="8" spans="2:16" ht="14.4"/>
    <row r="9" spans="2:16" ht="14.4">
      <c r="B9" s="127" t="s">
        <v>222</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B14" s="4"/>
      <c r="C14" s="29"/>
    </row>
    <row r="15" spans="2:16" ht="23.4">
      <c r="B15" s="7" t="s">
        <v>69</v>
      </c>
      <c r="C15" s="29"/>
    </row>
    <row r="16" spans="2:16" ht="14.4"/>
    <row r="17" spans="2:15" ht="14.4">
      <c r="B17" s="4"/>
      <c r="C17" s="137" t="s">
        <v>223</v>
      </c>
      <c r="D17" s="137"/>
      <c r="E17" s="137"/>
      <c r="F17" s="137"/>
      <c r="G17" s="137"/>
      <c r="H17" s="137"/>
      <c r="I17" s="137"/>
      <c r="J17" s="137"/>
      <c r="K17" s="137"/>
      <c r="L17" s="137"/>
      <c r="M17" s="137"/>
      <c r="N17" s="137"/>
      <c r="O17" s="137"/>
    </row>
    <row r="18" spans="2:15" ht="14.4">
      <c r="C18" s="137"/>
      <c r="D18" s="137"/>
      <c r="E18" s="137"/>
      <c r="F18" s="137"/>
      <c r="G18" s="137"/>
      <c r="H18" s="137"/>
      <c r="I18" s="137"/>
      <c r="J18" s="137"/>
      <c r="K18" s="137"/>
      <c r="L18" s="137"/>
      <c r="M18" s="137"/>
      <c r="N18" s="137"/>
      <c r="O18" s="137"/>
    </row>
    <row r="19" spans="2:15" ht="14.4">
      <c r="C19" s="68"/>
      <c r="D19" s="68"/>
      <c r="E19" s="68"/>
      <c r="F19" s="68"/>
      <c r="G19" s="68"/>
      <c r="H19" s="68"/>
      <c r="I19" s="68"/>
      <c r="J19" s="68"/>
      <c r="K19" s="68"/>
      <c r="L19" s="68"/>
      <c r="M19" s="68"/>
      <c r="N19" s="68"/>
      <c r="O19" s="68"/>
    </row>
    <row r="20" spans="2:15" ht="23.4">
      <c r="B20" s="7" t="s">
        <v>72</v>
      </c>
    </row>
    <row r="21" spans="2:15" ht="14.4"/>
    <row r="22" spans="2:15" ht="14.4">
      <c r="I22" s="76"/>
      <c r="L22" s="1" t="s">
        <v>82</v>
      </c>
    </row>
    <row r="23" spans="2:15" ht="14.4">
      <c r="H23" s="1" t="s">
        <v>224</v>
      </c>
    </row>
    <row r="24" spans="2:15" ht="14.4"/>
    <row r="25" spans="2:15" ht="14.4">
      <c r="B25" s="15" t="s">
        <v>8</v>
      </c>
      <c r="C25" s="15" t="s">
        <v>9</v>
      </c>
      <c r="D25" s="15" t="s">
        <v>10</v>
      </c>
      <c r="E25" s="15" t="s">
        <v>11</v>
      </c>
      <c r="F25" s="15" t="s">
        <v>66</v>
      </c>
      <c r="H25" s="73" t="str">
        <f>RIGHT(B26,7)</f>
        <v>Menezes</v>
      </c>
      <c r="L25" s="79" t="s">
        <v>227</v>
      </c>
    </row>
    <row r="26" spans="2:15" ht="14.4">
      <c r="B26" s="16" t="s">
        <v>20</v>
      </c>
      <c r="C26" s="16" t="s">
        <v>21</v>
      </c>
      <c r="D26" s="16">
        <v>6952214933</v>
      </c>
      <c r="E26" s="16" t="s">
        <v>22</v>
      </c>
      <c r="F26" s="14">
        <v>100</v>
      </c>
    </row>
    <row r="27" spans="2:15" ht="14.4">
      <c r="B27" s="16" t="s">
        <v>20</v>
      </c>
      <c r="C27" s="16" t="s">
        <v>27</v>
      </c>
      <c r="D27" s="16">
        <v>11290307768</v>
      </c>
      <c r="E27" s="16" t="s">
        <v>28</v>
      </c>
      <c r="F27" s="14">
        <v>89</v>
      </c>
      <c r="H27" s="1" t="s">
        <v>225</v>
      </c>
    </row>
    <row r="28" spans="2:15" ht="14.4">
      <c r="B28" s="16" t="s">
        <v>20</v>
      </c>
      <c r="C28" s="16" t="s">
        <v>30</v>
      </c>
      <c r="D28" s="16">
        <v>34697625897</v>
      </c>
      <c r="E28" s="16" t="s">
        <v>31</v>
      </c>
      <c r="F28" s="14">
        <v>99</v>
      </c>
    </row>
    <row r="29" spans="2:15" ht="14.4">
      <c r="B29" s="16" t="s">
        <v>20</v>
      </c>
      <c r="C29" s="16" t="s">
        <v>33</v>
      </c>
      <c r="D29" s="16">
        <v>26669129300</v>
      </c>
      <c r="E29" s="16" t="s">
        <v>34</v>
      </c>
      <c r="F29" s="14">
        <v>100</v>
      </c>
      <c r="H29" s="73" t="str">
        <f>RIGHT(D26,4)</f>
        <v>4933</v>
      </c>
      <c r="L29" s="79" t="s">
        <v>226</v>
      </c>
    </row>
    <row r="30" spans="2:15" ht="14.4">
      <c r="B30" s="16" t="s">
        <v>20</v>
      </c>
      <c r="C30" s="16" t="s">
        <v>36</v>
      </c>
      <c r="D30" s="16">
        <v>21892938804</v>
      </c>
      <c r="E30" s="16" t="s">
        <v>37</v>
      </c>
      <c r="F30" s="14">
        <v>0</v>
      </c>
    </row>
    <row r="31" spans="2:15" ht="14.4">
      <c r="B31" s="16" t="s">
        <v>20</v>
      </c>
      <c r="C31" s="16" t="s">
        <v>39</v>
      </c>
      <c r="D31" s="16">
        <v>69906505168</v>
      </c>
      <c r="E31" s="16" t="s">
        <v>40</v>
      </c>
      <c r="F31" s="14">
        <v>87</v>
      </c>
    </row>
    <row r="32" spans="2:15" ht="14.4">
      <c r="B32" s="16" t="s">
        <v>20</v>
      </c>
      <c r="C32" s="16" t="s">
        <v>41</v>
      </c>
      <c r="D32" s="16">
        <v>91139066153</v>
      </c>
      <c r="E32" s="16" t="s">
        <v>42</v>
      </c>
      <c r="F32" s="14">
        <v>88</v>
      </c>
      <c r="L32" s="80" t="s">
        <v>219</v>
      </c>
      <c r="M32" s="80" t="s">
        <v>220</v>
      </c>
    </row>
    <row r="33" spans="2:6" ht="14.4">
      <c r="B33" s="16" t="s">
        <v>20</v>
      </c>
      <c r="C33" s="16" t="s">
        <v>43</v>
      </c>
      <c r="D33" s="16">
        <v>12654094472</v>
      </c>
      <c r="E33" s="16" t="s">
        <v>44</v>
      </c>
      <c r="F33" s="14">
        <v>85</v>
      </c>
    </row>
    <row r="34" spans="2:6" ht="14.4">
      <c r="B34" s="16" t="s">
        <v>20</v>
      </c>
      <c r="C34" s="16" t="s">
        <v>45</v>
      </c>
      <c r="D34" s="16">
        <v>4172832610</v>
      </c>
      <c r="E34" s="16" t="s">
        <v>46</v>
      </c>
      <c r="F34" s="14">
        <v>70</v>
      </c>
    </row>
    <row r="35" spans="2:6" ht="14.4"/>
    <row r="36" spans="2:6" ht="14.4"/>
    <row r="37" spans="2:6" ht="14.4"/>
    <row r="38" spans="2:6" ht="14.4"/>
    <row r="39" spans="2:6" ht="14.4"/>
    <row r="40" spans="2:6" ht="14.4">
      <c r="D40" s="81"/>
    </row>
    <row r="41" spans="2:6" ht="14.4"/>
    <row r="42" spans="2:6" ht="14.4"/>
    <row r="43" spans="2:6" ht="14.4"/>
    <row r="44" spans="2:6" ht="14.4"/>
    <row r="45" spans="2:6" ht="14.4"/>
    <row r="46" spans="2:6" ht="14.4"/>
    <row r="47" spans="2:6" ht="14.4"/>
    <row r="48" spans="2:6" ht="14.4"/>
    <row r="49" ht="14.4"/>
    <row r="50" ht="14.4"/>
    <row r="51" ht="14.4"/>
    <row r="52" ht="14.4"/>
    <row r="53" ht="14.4"/>
    <row r="54" ht="14.4"/>
    <row r="55" ht="14.4"/>
    <row r="56" ht="14.4"/>
    <row r="57" ht="14.4"/>
    <row r="58" ht="14.4"/>
    <row r="59" ht="14.4"/>
    <row r="60" ht="14.4"/>
    <row r="61" ht="14.4"/>
    <row r="62" ht="14.4"/>
    <row r="63" ht="14.4"/>
    <row r="64" ht="14.4"/>
    <row r="65" ht="14.4"/>
    <row r="66" ht="14.4"/>
    <row r="67" ht="14.4"/>
    <row r="68" ht="14.4"/>
    <row r="69" ht="14.4"/>
    <row r="70" ht="14.4"/>
    <row r="71" ht="14.4"/>
    <row r="72" ht="14.4"/>
    <row r="73" ht="14.4"/>
    <row r="74" ht="14.4"/>
    <row r="75" ht="14.4"/>
    <row r="76" ht="14.4"/>
    <row r="77" ht="14.4"/>
    <row r="78" ht="14.4"/>
    <row r="79" ht="14.4"/>
    <row r="80" ht="14.4"/>
    <row r="81" ht="14.4"/>
    <row r="82" ht="14.4"/>
    <row r="83" ht="14.4"/>
    <row r="84" ht="14.4"/>
    <row r="85" ht="14.4"/>
    <row r="86" ht="14.4"/>
    <row r="87" ht="14.4"/>
    <row r="88" ht="14.4"/>
    <row r="89" ht="14.4"/>
    <row r="90" ht="14.4"/>
    <row r="91" ht="14.4"/>
    <row r="92" ht="14.4"/>
    <row r="93" ht="14.4"/>
    <row r="94" ht="14.4"/>
    <row r="95" ht="14.4"/>
    <row r="96" ht="14.4"/>
    <row r="97" ht="14.4"/>
    <row r="98" ht="14.4"/>
    <row r="99" ht="14.4"/>
    <row r="100" ht="14.4"/>
    <row r="101" ht="14.4"/>
    <row r="102" ht="14.4"/>
    <row r="103" ht="14.4"/>
  </sheetData>
  <mergeCells count="2">
    <mergeCell ref="B9:L12"/>
    <mergeCell ref="C17:O18"/>
  </mergeCells>
  <pageMargins left="0.511811024" right="0.511811024" top="0.78740157499999996" bottom="0.78740157499999996" header="0.31496062000000002" footer="0.31496062000000002"/>
  <pageSetup paperSize="9" orientation="portrait" r:id="rId1"/>
  <drawing r:id="rId2"/>
</worksheet>
</file>

<file path=xl/worksheets/sheet13.xml><?xml version="1.0" encoding="utf-8"?>
<worksheet xmlns="http://schemas.openxmlformats.org/spreadsheetml/2006/main" xmlns:r="http://schemas.openxmlformats.org/officeDocument/2006/relationships">
  <dimension ref="B1:P103"/>
  <sheetViews>
    <sheetView showGridLines="0" showRowColHeaders="0" topLeftCell="F1" workbookViewId="0"/>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2" customWidth="1"/>
  </cols>
  <sheetData>
    <row r="1" spans="2:16" ht="14.4"/>
    <row r="2" spans="2:16" ht="14.4"/>
    <row r="3" spans="2:16" ht="14.4"/>
    <row r="4" spans="2:16" ht="14.4"/>
    <row r="5" spans="2:16" ht="14.4"/>
    <row r="6" spans="2:16" ht="14.4"/>
    <row r="7" spans="2:16" ht="23.4">
      <c r="B7" s="6" t="s">
        <v>228</v>
      </c>
    </row>
    <row r="8" spans="2:16" ht="14.4"/>
    <row r="9" spans="2:16" ht="14.4">
      <c r="B9" s="127" t="s">
        <v>229</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B14" s="4"/>
      <c r="C14" s="29"/>
    </row>
    <row r="15" spans="2:16" ht="23.4">
      <c r="B15" s="7" t="s">
        <v>69</v>
      </c>
      <c r="C15" s="29"/>
    </row>
    <row r="16" spans="2:16" ht="14.4"/>
    <row r="17" spans="2:15" ht="14.4">
      <c r="B17" s="4"/>
      <c r="C17" s="137" t="s">
        <v>230</v>
      </c>
      <c r="D17" s="137"/>
      <c r="E17" s="137"/>
      <c r="F17" s="137"/>
      <c r="G17" s="137"/>
      <c r="H17" s="137"/>
      <c r="I17" s="137"/>
      <c r="J17" s="137"/>
      <c r="K17" s="137"/>
      <c r="L17" s="137"/>
      <c r="M17" s="137"/>
      <c r="N17" s="137"/>
      <c r="O17" s="137"/>
    </row>
    <row r="18" spans="2:15" ht="14.4">
      <c r="C18" s="137"/>
      <c r="D18" s="137"/>
      <c r="E18" s="137"/>
      <c r="F18" s="137"/>
      <c r="G18" s="137"/>
      <c r="H18" s="137"/>
      <c r="I18" s="137"/>
      <c r="J18" s="137"/>
      <c r="K18" s="137"/>
      <c r="L18" s="137"/>
      <c r="M18" s="137"/>
      <c r="N18" s="137"/>
      <c r="O18" s="137"/>
    </row>
    <row r="19" spans="2:15" ht="14.4">
      <c r="C19" s="68"/>
      <c r="D19" s="68"/>
      <c r="E19" s="68"/>
      <c r="F19" s="68"/>
      <c r="G19" s="68"/>
      <c r="H19" s="68"/>
      <c r="I19" s="68"/>
      <c r="J19" s="68"/>
      <c r="K19" s="68"/>
      <c r="L19" s="68"/>
      <c r="M19" s="68"/>
      <c r="N19" s="68"/>
      <c r="O19" s="68"/>
    </row>
    <row r="20" spans="2:15" ht="23.4">
      <c r="B20" s="7" t="s">
        <v>72</v>
      </c>
    </row>
    <row r="21" spans="2:15" ht="14.4"/>
    <row r="22" spans="2:15" ht="14.4">
      <c r="I22" s="76"/>
    </row>
    <row r="23" spans="2:15" ht="14.4">
      <c r="G23" t="s">
        <v>231</v>
      </c>
    </row>
    <row r="24" spans="2:15" ht="14.4"/>
    <row r="25" spans="2:15" ht="14.4">
      <c r="B25" s="15" t="s">
        <v>8</v>
      </c>
      <c r="C25" s="15" t="s">
        <v>9</v>
      </c>
      <c r="D25" s="15" t="s">
        <v>10</v>
      </c>
      <c r="E25" s="15" t="s">
        <v>11</v>
      </c>
      <c r="F25" s="15" t="s">
        <v>66</v>
      </c>
    </row>
    <row r="26" spans="2:15" ht="14.4">
      <c r="B26" s="16" t="s">
        <v>20</v>
      </c>
      <c r="C26" s="16" t="s">
        <v>21</v>
      </c>
      <c r="D26" s="16">
        <v>6952214933</v>
      </c>
      <c r="E26" s="16" t="s">
        <v>22</v>
      </c>
      <c r="F26" s="14">
        <v>100</v>
      </c>
      <c r="H26" s="69" t="s">
        <v>66</v>
      </c>
      <c r="K26" s="1" t="s">
        <v>82</v>
      </c>
    </row>
    <row r="27" spans="2:15" ht="14.4">
      <c r="B27" s="16" t="s">
        <v>20</v>
      </c>
      <c r="C27" s="16" t="s">
        <v>27</v>
      </c>
      <c r="D27" s="16">
        <v>11290307768</v>
      </c>
      <c r="E27" s="16" t="s">
        <v>28</v>
      </c>
      <c r="F27" s="14">
        <v>89</v>
      </c>
      <c r="H27" s="77">
        <v>100</v>
      </c>
      <c r="I27" s="82">
        <f>COUNTIF(F26:F34,H27)</f>
        <v>2</v>
      </c>
      <c r="K27" s="10" t="s">
        <v>233</v>
      </c>
    </row>
    <row r="28" spans="2:15" ht="14.4">
      <c r="B28" s="16" t="s">
        <v>20</v>
      </c>
      <c r="C28" s="16" t="s">
        <v>30</v>
      </c>
      <c r="D28" s="16">
        <v>34697625897</v>
      </c>
      <c r="E28" s="16" t="s">
        <v>31</v>
      </c>
      <c r="F28" s="14">
        <v>99</v>
      </c>
    </row>
    <row r="29" spans="2:15" ht="14.4">
      <c r="B29" s="16" t="s">
        <v>20</v>
      </c>
      <c r="C29" s="16" t="s">
        <v>33</v>
      </c>
      <c r="D29" s="16">
        <v>26669129300</v>
      </c>
      <c r="E29" s="16" t="s">
        <v>34</v>
      </c>
      <c r="F29" s="14">
        <v>100</v>
      </c>
    </row>
    <row r="30" spans="2:15" ht="14.4">
      <c r="B30" s="16" t="s">
        <v>20</v>
      </c>
      <c r="C30" s="16" t="s">
        <v>36</v>
      </c>
      <c r="D30" s="16">
        <v>21892938804</v>
      </c>
      <c r="E30" s="16" t="s">
        <v>37</v>
      </c>
      <c r="F30" s="14">
        <v>0</v>
      </c>
    </row>
    <row r="31" spans="2:15" ht="14.4">
      <c r="B31" s="16" t="s">
        <v>20</v>
      </c>
      <c r="C31" s="16" t="s">
        <v>39</v>
      </c>
      <c r="D31" s="16">
        <v>69906505168</v>
      </c>
      <c r="E31" s="16" t="s">
        <v>40</v>
      </c>
      <c r="F31" s="14">
        <v>87</v>
      </c>
      <c r="I31" s="1" t="s">
        <v>232</v>
      </c>
    </row>
    <row r="32" spans="2:15" ht="14.4">
      <c r="B32" s="16" t="s">
        <v>20</v>
      </c>
      <c r="C32" s="16" t="s">
        <v>41</v>
      </c>
      <c r="D32" s="16">
        <v>91139066153</v>
      </c>
      <c r="E32" s="16" t="s">
        <v>42</v>
      </c>
      <c r="F32" s="14">
        <v>88</v>
      </c>
    </row>
    <row r="33" spans="2:10" ht="14.4">
      <c r="B33" s="16" t="s">
        <v>20</v>
      </c>
      <c r="C33" s="16" t="s">
        <v>43</v>
      </c>
      <c r="D33" s="16">
        <v>12654094472</v>
      </c>
      <c r="E33" s="16" t="s">
        <v>44</v>
      </c>
      <c r="F33" s="14">
        <v>85</v>
      </c>
    </row>
    <row r="34" spans="2:10" ht="14.4">
      <c r="B34" s="16" t="s">
        <v>20</v>
      </c>
      <c r="C34" s="16" t="s">
        <v>45</v>
      </c>
      <c r="D34" s="16">
        <v>4172832610</v>
      </c>
      <c r="E34" s="16" t="s">
        <v>46</v>
      </c>
      <c r="F34" s="14">
        <v>70</v>
      </c>
      <c r="I34" s="156" t="s">
        <v>199</v>
      </c>
      <c r="J34" s="157"/>
    </row>
    <row r="35" spans="2:10" ht="21">
      <c r="I35" s="78" t="s">
        <v>200</v>
      </c>
      <c r="J35" s="77" t="s">
        <v>205</v>
      </c>
    </row>
    <row r="36" spans="2:10" ht="21">
      <c r="I36" s="78" t="s">
        <v>201</v>
      </c>
      <c r="J36" s="77" t="s">
        <v>204</v>
      </c>
    </row>
    <row r="37" spans="2:10" ht="21">
      <c r="I37" s="78" t="s">
        <v>202</v>
      </c>
      <c r="J37" s="77" t="s">
        <v>206</v>
      </c>
    </row>
    <row r="38" spans="2:10" ht="21">
      <c r="I38" s="78" t="s">
        <v>203</v>
      </c>
      <c r="J38" s="77" t="s">
        <v>207</v>
      </c>
    </row>
    <row r="39" spans="2:10" ht="21">
      <c r="I39" s="78" t="s">
        <v>208</v>
      </c>
      <c r="J39" s="77" t="s">
        <v>210</v>
      </c>
    </row>
    <row r="40" spans="2:10" ht="21">
      <c r="I40" s="78" t="s">
        <v>209</v>
      </c>
      <c r="J40" s="77" t="s">
        <v>211</v>
      </c>
    </row>
    <row r="41" spans="2:10" ht="14.4"/>
    <row r="42" spans="2:10" ht="14.4"/>
    <row r="43" spans="2:10" ht="14.4"/>
    <row r="44" spans="2:10" ht="14.4"/>
    <row r="45" spans="2:10" ht="14.4"/>
    <row r="46" spans="2:10" ht="14.4"/>
    <row r="47" spans="2:10" ht="14.4"/>
    <row r="48" spans="2:10" ht="14.4"/>
    <row r="49" ht="14.4"/>
    <row r="50" ht="14.4"/>
    <row r="51" ht="14.4"/>
    <row r="52" ht="14.4"/>
    <row r="53" ht="14.4"/>
    <row r="54" ht="14.4"/>
    <row r="55" ht="14.4"/>
    <row r="56" ht="14.4"/>
    <row r="57" ht="14.4"/>
    <row r="58" ht="14.4"/>
    <row r="59" ht="14.4"/>
    <row r="60" ht="14.4"/>
    <row r="61" ht="14.4"/>
    <row r="62" ht="14.4"/>
    <row r="63" ht="14.4"/>
    <row r="64" ht="14.4"/>
    <row r="65" ht="14.4"/>
    <row r="66" ht="14.4"/>
    <row r="67" ht="14.4"/>
    <row r="68" ht="14.4"/>
    <row r="69" ht="14.4"/>
    <row r="70" ht="14.4"/>
    <row r="71" ht="14.4"/>
    <row r="72" ht="14.4"/>
    <row r="73" ht="14.4"/>
    <row r="74" ht="14.4"/>
    <row r="75" ht="14.4"/>
    <row r="76" ht="14.4"/>
    <row r="77" ht="14.4"/>
    <row r="78" ht="14.4"/>
    <row r="79" ht="14.4"/>
    <row r="80" ht="14.4"/>
    <row r="81" ht="14.4"/>
    <row r="82" ht="14.4"/>
    <row r="83" ht="14.4"/>
    <row r="84" ht="14.4"/>
    <row r="85" ht="14.4"/>
    <row r="86" ht="14.4"/>
    <row r="87" ht="14.4"/>
    <row r="88" ht="14.4"/>
    <row r="89" ht="14.4"/>
    <row r="90" ht="14.4"/>
    <row r="91" ht="14.4"/>
    <row r="92" ht="14.4"/>
    <row r="93" ht="14.4"/>
    <row r="94" ht="14.4"/>
    <row r="95" ht="14.4"/>
    <row r="96" ht="14.4"/>
    <row r="97" ht="14.4"/>
    <row r="98" ht="14.4"/>
    <row r="99" ht="14.4"/>
    <row r="100" ht="14.4"/>
    <row r="101" ht="14.4"/>
    <row r="102" ht="14.4"/>
    <row r="103" ht="14.4"/>
  </sheetData>
  <mergeCells count="3">
    <mergeCell ref="B9:L12"/>
    <mergeCell ref="C17:O18"/>
    <mergeCell ref="I34:J34"/>
  </mergeCells>
  <pageMargins left="0.511811024" right="0.511811024" top="0.78740157499999996" bottom="0.78740157499999996" header="0.31496062000000002" footer="0.31496062000000002"/>
  <drawing r:id="rId1"/>
</worksheet>
</file>

<file path=xl/worksheets/sheet14.xml><?xml version="1.0" encoding="utf-8"?>
<worksheet xmlns="http://schemas.openxmlformats.org/spreadsheetml/2006/main" xmlns:r="http://schemas.openxmlformats.org/officeDocument/2006/relationships">
  <dimension ref="B1:P103"/>
  <sheetViews>
    <sheetView showGridLines="0" showRowColHeaders="0" topLeftCell="F1" workbookViewId="0">
      <selection activeCell="F20" sqref="F20"/>
    </sheetView>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2" customWidth="1"/>
  </cols>
  <sheetData>
    <row r="1" spans="2:16" ht="14.4"/>
    <row r="2" spans="2:16" ht="14.4"/>
    <row r="3" spans="2:16" ht="14.4"/>
    <row r="4" spans="2:16" ht="14.4"/>
    <row r="5" spans="2:16" ht="14.4"/>
    <row r="6" spans="2:16" ht="14.4"/>
    <row r="7" spans="2:16" ht="23.4">
      <c r="B7" s="6" t="s">
        <v>234</v>
      </c>
    </row>
    <row r="8" spans="2:16" ht="14.4"/>
    <row r="9" spans="2:16" ht="14.4">
      <c r="B9" s="127" t="s">
        <v>235</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C14" s="68"/>
      <c r="D14" s="68"/>
      <c r="E14" s="68"/>
      <c r="F14" s="68"/>
      <c r="G14" s="68"/>
      <c r="H14" s="68"/>
      <c r="I14" s="68"/>
      <c r="J14" s="68"/>
      <c r="K14" s="68"/>
      <c r="L14" s="68"/>
      <c r="M14" s="68"/>
      <c r="N14" s="68"/>
      <c r="O14" s="68"/>
    </row>
    <row r="15" spans="2:16" ht="23.4">
      <c r="B15" s="7" t="s">
        <v>72</v>
      </c>
    </row>
    <row r="16" spans="2:16" ht="14.4"/>
    <row r="17" spans="2:13" ht="14.4">
      <c r="I17" s="76"/>
    </row>
    <row r="18" spans="2:13" ht="14.4">
      <c r="H18" s="1" t="s">
        <v>236</v>
      </c>
      <c r="J18" s="1" t="s">
        <v>82</v>
      </c>
    </row>
    <row r="19" spans="2:13" ht="14.4"/>
    <row r="20" spans="2:13" ht="14.4">
      <c r="B20" s="15" t="s">
        <v>8</v>
      </c>
      <c r="C20" s="15" t="s">
        <v>9</v>
      </c>
      <c r="D20" s="15" t="s">
        <v>10</v>
      </c>
      <c r="E20" s="15" t="s">
        <v>11</v>
      </c>
      <c r="F20" s="15" t="s">
        <v>66</v>
      </c>
      <c r="H20" s="73">
        <f>MAX(F21:F29)</f>
        <v>100</v>
      </c>
    </row>
    <row r="21" spans="2:13" ht="14.4">
      <c r="B21" s="16" t="s">
        <v>20</v>
      </c>
      <c r="C21" s="16" t="s">
        <v>21</v>
      </c>
      <c r="D21" s="16">
        <v>6952214933</v>
      </c>
      <c r="E21" s="16" t="s">
        <v>22</v>
      </c>
      <c r="F21" s="14">
        <v>100</v>
      </c>
      <c r="J21" s="79" t="s">
        <v>237</v>
      </c>
    </row>
    <row r="22" spans="2:13" ht="14.4">
      <c r="B22" s="16" t="s">
        <v>20</v>
      </c>
      <c r="C22" s="16" t="s">
        <v>27</v>
      </c>
      <c r="D22" s="16">
        <v>11290307768</v>
      </c>
      <c r="E22" s="16" t="s">
        <v>28</v>
      </c>
      <c r="F22" s="14">
        <v>89</v>
      </c>
      <c r="H22" s="1"/>
    </row>
    <row r="23" spans="2:13" ht="14.4">
      <c r="B23" s="16" t="s">
        <v>20</v>
      </c>
      <c r="C23" s="16" t="s">
        <v>30</v>
      </c>
      <c r="D23" s="16">
        <v>34697625897</v>
      </c>
      <c r="E23" s="16" t="s">
        <v>31</v>
      </c>
      <c r="F23" s="14">
        <v>99</v>
      </c>
    </row>
    <row r="24" spans="2:13" ht="14.4">
      <c r="B24" s="16" t="s">
        <v>20</v>
      </c>
      <c r="C24" s="16" t="s">
        <v>33</v>
      </c>
      <c r="D24" s="16">
        <v>26669129300</v>
      </c>
      <c r="E24" s="16" t="s">
        <v>34</v>
      </c>
      <c r="F24" s="14">
        <v>100</v>
      </c>
      <c r="H24" s="73"/>
      <c r="J24" s="80" t="s">
        <v>238</v>
      </c>
      <c r="L24" s="79"/>
    </row>
    <row r="25" spans="2:13" ht="14.4">
      <c r="B25" s="16" t="s">
        <v>20</v>
      </c>
      <c r="C25" s="16" t="s">
        <v>36</v>
      </c>
      <c r="D25" s="16">
        <v>21892938804</v>
      </c>
      <c r="E25" s="16" t="s">
        <v>37</v>
      </c>
      <c r="F25" s="14">
        <v>0</v>
      </c>
    </row>
    <row r="26" spans="2:13" ht="14.4">
      <c r="B26" s="16" t="s">
        <v>20</v>
      </c>
      <c r="C26" s="16" t="s">
        <v>39</v>
      </c>
      <c r="D26" s="16">
        <v>69906505168</v>
      </c>
      <c r="E26" s="16" t="s">
        <v>40</v>
      </c>
      <c r="F26" s="14">
        <v>87</v>
      </c>
    </row>
    <row r="27" spans="2:13" ht="14.4">
      <c r="B27" s="16" t="s">
        <v>20</v>
      </c>
      <c r="C27" s="16" t="s">
        <v>41</v>
      </c>
      <c r="D27" s="16">
        <v>91139066153</v>
      </c>
      <c r="E27" s="16" t="s">
        <v>42</v>
      </c>
      <c r="F27" s="14">
        <v>88</v>
      </c>
      <c r="L27" s="80"/>
      <c r="M27" s="80"/>
    </row>
    <row r="28" spans="2:13" ht="14.4">
      <c r="B28" s="16" t="s">
        <v>20</v>
      </c>
      <c r="C28" s="16" t="s">
        <v>43</v>
      </c>
      <c r="D28" s="16">
        <v>12654094472</v>
      </c>
      <c r="E28" s="16" t="s">
        <v>44</v>
      </c>
      <c r="F28" s="14">
        <v>85</v>
      </c>
    </row>
    <row r="29" spans="2:13" ht="14.4">
      <c r="B29" s="16" t="s">
        <v>20</v>
      </c>
      <c r="C29" s="16" t="s">
        <v>45</v>
      </c>
      <c r="D29" s="16">
        <v>4172832610</v>
      </c>
      <c r="E29" s="16" t="s">
        <v>46</v>
      </c>
      <c r="F29" s="14">
        <v>70</v>
      </c>
    </row>
    <row r="30" spans="2:13" ht="14.4"/>
    <row r="31" spans="2:13" ht="14.4"/>
    <row r="32" spans="2:13" ht="14.4"/>
    <row r="33" spans="4:4" ht="14.4"/>
    <row r="34" spans="4:4" ht="14.4" hidden="1"/>
    <row r="35" spans="4:4" ht="14.4" hidden="1">
      <c r="D35" s="81"/>
    </row>
    <row r="36" spans="4:4" ht="14.4" hidden="1"/>
    <row r="37" spans="4:4" ht="14.4" hidden="1"/>
    <row r="38" spans="4:4" ht="14.4" hidden="1"/>
    <row r="39" spans="4:4" ht="14.4" hidden="1"/>
    <row r="40" spans="4:4" ht="14.4" hidden="1"/>
    <row r="41" spans="4:4" ht="14.4" hidden="1"/>
    <row r="42" spans="4:4" ht="14.4" hidden="1"/>
    <row r="43" spans="4:4" ht="14.4" hidden="1"/>
    <row r="44" spans="4:4" ht="14.4" hidden="1"/>
    <row r="45" spans="4:4" ht="14.4" hidden="1"/>
    <row r="46" spans="4:4" ht="14.4" hidden="1"/>
    <row r="47" spans="4:4" ht="14.4" hidden="1"/>
    <row r="48" spans="4:4" ht="14.4" hidden="1"/>
    <row r="49" ht="14.4" hidden="1"/>
    <row r="50" ht="14.4" hidden="1"/>
    <row r="51" ht="14.4" hidden="1"/>
    <row r="52" ht="14.4" hidden="1"/>
    <row r="53" ht="14.4" hidden="1"/>
    <row r="54" ht="14.4" hidden="1"/>
    <row r="55" ht="14.4" hidden="1"/>
    <row r="56" ht="14.4" hidden="1"/>
    <row r="57" ht="14.4" hidden="1"/>
    <row r="58" ht="14.4" hidden="1"/>
    <row r="59" ht="14.4" hidden="1"/>
    <row r="60" ht="14.4" hidden="1"/>
    <row r="61" ht="14.4" hidden="1"/>
    <row r="62" ht="14.4" hidden="1"/>
    <row r="63" ht="14.4" hidden="1"/>
    <row r="64" ht="14.4" hidden="1"/>
    <row r="65" ht="14.4" hidden="1"/>
    <row r="66" ht="14.4" hidden="1"/>
    <row r="67" ht="14.4" hidden="1"/>
    <row r="68" ht="14.4" hidden="1"/>
    <row r="69" ht="14.4" hidden="1"/>
    <row r="70" ht="14.4" hidden="1"/>
    <row r="71" ht="14.4" hidden="1"/>
    <row r="72" ht="14.4" hidden="1"/>
    <row r="73" ht="14.4" hidden="1"/>
    <row r="74" ht="14.4" hidden="1"/>
    <row r="75" ht="14.4" hidden="1"/>
    <row r="76" ht="14.4" hidden="1"/>
    <row r="77" ht="14.4" hidden="1"/>
    <row r="78" ht="14.4" hidden="1"/>
    <row r="79" ht="14.4" hidden="1"/>
    <row r="80" ht="14.4" hidden="1"/>
    <row r="81" ht="14.4" hidden="1"/>
    <row r="82" ht="14.4" hidden="1"/>
    <row r="83" ht="14.4" hidden="1"/>
    <row r="84" ht="14.4" hidden="1"/>
    <row r="85" ht="14.4" hidden="1"/>
    <row r="86" ht="14.4" hidden="1"/>
    <row r="87" ht="14.4" hidden="1"/>
    <row r="88" ht="14.4" hidden="1"/>
    <row r="89" ht="14.4" hidden="1"/>
    <row r="90" ht="14.4" hidden="1"/>
    <row r="91" ht="14.4" hidden="1"/>
    <row r="92" ht="14.4" hidden="1"/>
    <row r="93" ht="14.4" hidden="1"/>
    <row r="94" ht="14.4" hidden="1"/>
    <row r="95" ht="14.4" hidden="1"/>
    <row r="96" ht="14.4" hidden="1"/>
    <row r="97" ht="14.4" hidden="1"/>
    <row r="98" ht="14.4" hidden="1"/>
    <row r="99" ht="15" hidden="1" customHeight="1"/>
    <row r="100" ht="15" hidden="1" customHeight="1"/>
    <row r="101" ht="15" hidden="1" customHeight="1"/>
    <row r="102" ht="15" hidden="1" customHeight="1"/>
    <row r="103" ht="15" hidden="1" customHeight="1"/>
  </sheetData>
  <mergeCells count="1">
    <mergeCell ref="B9:L12"/>
  </mergeCells>
  <pageMargins left="0.511811024" right="0.511811024" top="0.78740157499999996" bottom="0.78740157499999996" header="0.31496062000000002" footer="0.31496062000000002"/>
  <drawing r:id="rId1"/>
</worksheet>
</file>

<file path=xl/worksheets/sheet15.xml><?xml version="1.0" encoding="utf-8"?>
<worksheet xmlns="http://schemas.openxmlformats.org/spreadsheetml/2006/main" xmlns:r="http://schemas.openxmlformats.org/officeDocument/2006/relationships">
  <dimension ref="B1:P103"/>
  <sheetViews>
    <sheetView showGridLines="0" showRowColHeaders="0" topLeftCell="F1" workbookViewId="0"/>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2" customWidth="1"/>
  </cols>
  <sheetData>
    <row r="1" spans="2:16" ht="14.4"/>
    <row r="2" spans="2:16" ht="14.4"/>
    <row r="3" spans="2:16" ht="14.4"/>
    <row r="4" spans="2:16" ht="14.4"/>
    <row r="5" spans="2:16" ht="14.4"/>
    <row r="6" spans="2:16" ht="14.4"/>
    <row r="7" spans="2:16" ht="23.4">
      <c r="B7" s="6" t="s">
        <v>239</v>
      </c>
    </row>
    <row r="8" spans="2:16" ht="14.4"/>
    <row r="9" spans="2:16" ht="14.4">
      <c r="B9" s="127" t="s">
        <v>240</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C14" s="68"/>
      <c r="D14" s="68"/>
      <c r="E14" s="68"/>
      <c r="F14" s="68"/>
      <c r="G14" s="68"/>
      <c r="H14" s="68"/>
      <c r="I14" s="68"/>
      <c r="J14" s="68"/>
      <c r="K14" s="68"/>
      <c r="L14" s="68"/>
      <c r="M14" s="68"/>
      <c r="N14" s="68"/>
      <c r="O14" s="68"/>
    </row>
    <row r="15" spans="2:16" ht="23.4">
      <c r="B15" s="7" t="s">
        <v>72</v>
      </c>
    </row>
    <row r="16" spans="2:16" ht="14.4"/>
    <row r="17" spans="2:13" ht="14.4">
      <c r="I17" s="76"/>
    </row>
    <row r="18" spans="2:13" ht="14.4">
      <c r="H18" s="1" t="s">
        <v>241</v>
      </c>
      <c r="J18" s="1" t="s">
        <v>82</v>
      </c>
    </row>
    <row r="19" spans="2:13" ht="14.4"/>
    <row r="20" spans="2:13" ht="14.4">
      <c r="B20" s="15" t="s">
        <v>8</v>
      </c>
      <c r="C20" s="15" t="s">
        <v>9</v>
      </c>
      <c r="D20" s="15" t="s">
        <v>10</v>
      </c>
      <c r="E20" s="15" t="s">
        <v>11</v>
      </c>
      <c r="F20" s="15" t="s">
        <v>66</v>
      </c>
      <c r="H20" s="73">
        <f>MIN(F21:F29)</f>
        <v>0</v>
      </c>
    </row>
    <row r="21" spans="2:13" ht="14.4">
      <c r="B21" s="16" t="s">
        <v>20</v>
      </c>
      <c r="C21" s="16" t="s">
        <v>21</v>
      </c>
      <c r="D21" s="16">
        <v>6952214933</v>
      </c>
      <c r="E21" s="16" t="s">
        <v>22</v>
      </c>
      <c r="F21" s="14">
        <v>100</v>
      </c>
      <c r="J21" s="79" t="s">
        <v>242</v>
      </c>
    </row>
    <row r="22" spans="2:13" ht="14.4">
      <c r="B22" s="16" t="s">
        <v>20</v>
      </c>
      <c r="C22" s="16" t="s">
        <v>27</v>
      </c>
      <c r="D22" s="16">
        <v>11290307768</v>
      </c>
      <c r="E22" s="16" t="s">
        <v>28</v>
      </c>
      <c r="F22" s="14">
        <v>89</v>
      </c>
      <c r="H22" s="1"/>
    </row>
    <row r="23" spans="2:13" ht="14.4">
      <c r="B23" s="16" t="s">
        <v>20</v>
      </c>
      <c r="C23" s="16" t="s">
        <v>30</v>
      </c>
      <c r="D23" s="16">
        <v>34697625897</v>
      </c>
      <c r="E23" s="16" t="s">
        <v>31</v>
      </c>
      <c r="F23" s="14">
        <v>99</v>
      </c>
    </row>
    <row r="24" spans="2:13" ht="14.4">
      <c r="B24" s="16" t="s">
        <v>20</v>
      </c>
      <c r="C24" s="16" t="s">
        <v>33</v>
      </c>
      <c r="D24" s="16">
        <v>26669129300</v>
      </c>
      <c r="E24" s="16" t="s">
        <v>34</v>
      </c>
      <c r="F24" s="14">
        <v>100</v>
      </c>
      <c r="H24" s="73"/>
      <c r="J24" s="80" t="s">
        <v>238</v>
      </c>
      <c r="L24" s="79"/>
    </row>
    <row r="25" spans="2:13" ht="14.4">
      <c r="B25" s="16" t="s">
        <v>20</v>
      </c>
      <c r="C25" s="16" t="s">
        <v>36</v>
      </c>
      <c r="D25" s="16">
        <v>21892938804</v>
      </c>
      <c r="E25" s="16" t="s">
        <v>37</v>
      </c>
      <c r="F25" s="14">
        <v>0</v>
      </c>
    </row>
    <row r="26" spans="2:13" ht="14.4">
      <c r="B26" s="16" t="s">
        <v>20</v>
      </c>
      <c r="C26" s="16" t="s">
        <v>39</v>
      </c>
      <c r="D26" s="16">
        <v>69906505168</v>
      </c>
      <c r="E26" s="16" t="s">
        <v>40</v>
      </c>
      <c r="F26" s="14">
        <v>87</v>
      </c>
    </row>
    <row r="27" spans="2:13" ht="14.4">
      <c r="B27" s="16" t="s">
        <v>20</v>
      </c>
      <c r="C27" s="16" t="s">
        <v>41</v>
      </c>
      <c r="D27" s="16">
        <v>91139066153</v>
      </c>
      <c r="E27" s="16" t="s">
        <v>42</v>
      </c>
      <c r="F27" s="14">
        <v>88</v>
      </c>
      <c r="L27" s="80"/>
      <c r="M27" s="80"/>
    </row>
    <row r="28" spans="2:13" ht="14.4">
      <c r="B28" s="16" t="s">
        <v>20</v>
      </c>
      <c r="C28" s="16" t="s">
        <v>43</v>
      </c>
      <c r="D28" s="16">
        <v>12654094472</v>
      </c>
      <c r="E28" s="16" t="s">
        <v>44</v>
      </c>
      <c r="F28" s="14">
        <v>85</v>
      </c>
    </row>
    <row r="29" spans="2:13" ht="14.4">
      <c r="B29" s="16" t="s">
        <v>20</v>
      </c>
      <c r="C29" s="16" t="s">
        <v>45</v>
      </c>
      <c r="D29" s="16">
        <v>4172832610</v>
      </c>
      <c r="E29" s="16" t="s">
        <v>46</v>
      </c>
      <c r="F29" s="14">
        <v>70</v>
      </c>
    </row>
    <row r="30" spans="2:13" ht="14.4"/>
    <row r="31" spans="2:13" ht="14.4"/>
    <row r="32" spans="2:13" ht="14.4"/>
    <row r="33" spans="4:4" ht="14.4"/>
    <row r="34" spans="4:4" ht="14.4" hidden="1"/>
    <row r="35" spans="4:4" ht="14.4" hidden="1">
      <c r="D35" s="81"/>
    </row>
    <row r="36" spans="4:4" ht="14.4" hidden="1"/>
    <row r="37" spans="4:4" ht="14.4" hidden="1"/>
    <row r="38" spans="4:4" ht="14.4" hidden="1"/>
    <row r="39" spans="4:4" ht="14.4" hidden="1"/>
    <row r="40" spans="4:4" ht="14.4" hidden="1"/>
    <row r="41" spans="4:4" ht="14.4" hidden="1"/>
    <row r="42" spans="4:4" ht="14.4" hidden="1"/>
    <row r="43" spans="4:4" ht="14.4" hidden="1"/>
    <row r="44" spans="4:4" ht="14.4" hidden="1"/>
    <row r="45" spans="4:4" ht="14.4" hidden="1"/>
    <row r="46" spans="4:4" ht="14.4" hidden="1"/>
    <row r="47" spans="4:4" ht="14.4" hidden="1"/>
    <row r="48" spans="4:4" ht="14.4" hidden="1"/>
    <row r="49" ht="14.4" hidden="1"/>
    <row r="50" ht="14.4" hidden="1"/>
    <row r="51" ht="14.4" hidden="1"/>
    <row r="52" ht="14.4" hidden="1"/>
    <row r="53" ht="14.4" hidden="1"/>
    <row r="54" ht="14.4" hidden="1"/>
    <row r="55" ht="14.4" hidden="1"/>
    <row r="56" ht="14.4" hidden="1"/>
    <row r="57" ht="14.4" hidden="1"/>
    <row r="58" ht="14.4" hidden="1"/>
    <row r="59" ht="14.4" hidden="1"/>
    <row r="60" ht="14.4" hidden="1"/>
    <row r="61" ht="14.4" hidden="1"/>
    <row r="62" ht="14.4" hidden="1"/>
    <row r="63" ht="14.4" hidden="1"/>
    <row r="64" ht="14.4" hidden="1"/>
    <row r="65" ht="14.4" hidden="1"/>
    <row r="66" ht="14.4" hidden="1"/>
    <row r="67" ht="14.4" hidden="1"/>
    <row r="68" ht="14.4" hidden="1"/>
    <row r="69" ht="14.4" hidden="1"/>
    <row r="70" ht="14.4" hidden="1"/>
    <row r="71" ht="14.4" hidden="1"/>
    <row r="72" ht="14.4" hidden="1"/>
    <row r="73" ht="14.4" hidden="1"/>
    <row r="74" ht="14.4" hidden="1"/>
    <row r="75" ht="14.4" hidden="1"/>
    <row r="76" ht="14.4" hidden="1"/>
    <row r="77" ht="14.4" hidden="1"/>
    <row r="78" ht="14.4" hidden="1"/>
    <row r="79" ht="14.4" hidden="1"/>
    <row r="80" ht="14.4" hidden="1"/>
    <row r="81" ht="14.4" hidden="1"/>
    <row r="82" ht="14.4" hidden="1"/>
    <row r="83" ht="14.4" hidden="1"/>
    <row r="84" ht="14.4" hidden="1"/>
    <row r="85" ht="14.4" hidden="1"/>
    <row r="86" ht="14.4" hidden="1"/>
    <row r="87" ht="14.4" hidden="1"/>
    <row r="88" ht="14.4" hidden="1"/>
    <row r="89" ht="14.4" hidden="1"/>
    <row r="90" ht="14.4" hidden="1"/>
    <row r="91" ht="14.4" hidden="1"/>
    <row r="92" ht="14.4" hidden="1"/>
    <row r="93" ht="14.4" hidden="1"/>
    <row r="94" ht="14.4" hidden="1"/>
    <row r="95" ht="14.4" hidden="1"/>
    <row r="96" ht="14.4" hidden="1"/>
    <row r="97" ht="14.4" hidden="1"/>
    <row r="98" ht="14.4" hidden="1"/>
    <row r="99" ht="15" hidden="1" customHeight="1"/>
    <row r="100" ht="15" hidden="1" customHeight="1"/>
    <row r="101" ht="15" hidden="1" customHeight="1"/>
    <row r="102" ht="15" hidden="1" customHeight="1"/>
    <row r="103" ht="15" hidden="1" customHeight="1"/>
  </sheetData>
  <mergeCells count="1">
    <mergeCell ref="B9:L12"/>
  </mergeCells>
  <pageMargins left="0.511811024" right="0.511811024" top="0.78740157499999996" bottom="0.78740157499999996" header="0.31496062000000002" footer="0.31496062000000002"/>
  <drawing r:id="rId1"/>
</worksheet>
</file>

<file path=xl/worksheets/sheet16.xml><?xml version="1.0" encoding="utf-8"?>
<worksheet xmlns="http://schemas.openxmlformats.org/spreadsheetml/2006/main" xmlns:r="http://schemas.openxmlformats.org/officeDocument/2006/relationships">
  <dimension ref="B1:P103"/>
  <sheetViews>
    <sheetView showGridLines="0" showRowColHeaders="0" topLeftCell="G1" workbookViewId="0">
      <selection activeCell="H27" sqref="H27"/>
    </sheetView>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8.109375" bestFit="1" customWidth="1"/>
  </cols>
  <sheetData>
    <row r="1" spans="2:16" ht="14.4"/>
    <row r="2" spans="2:16" ht="14.4"/>
    <row r="3" spans="2:16" ht="14.4"/>
    <row r="4" spans="2:16" ht="14.4"/>
    <row r="5" spans="2:16" ht="14.4"/>
    <row r="6" spans="2:16" ht="14.4"/>
    <row r="7" spans="2:16" ht="23.4">
      <c r="B7" s="6" t="s">
        <v>243</v>
      </c>
    </row>
    <row r="8" spans="2:16" ht="14.4"/>
    <row r="9" spans="2:16" ht="14.4">
      <c r="B9" s="127" t="s">
        <v>244</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C14" s="68"/>
      <c r="D14" s="68"/>
      <c r="E14" s="68"/>
      <c r="F14" s="68"/>
      <c r="G14" s="68"/>
      <c r="H14" s="68"/>
      <c r="I14" s="68"/>
      <c r="J14" s="68"/>
      <c r="K14" s="68"/>
      <c r="L14" s="68"/>
      <c r="M14" s="68"/>
      <c r="N14" s="68"/>
      <c r="O14" s="68"/>
    </row>
    <row r="15" spans="2:16" ht="23.4">
      <c r="B15" s="7" t="s">
        <v>72</v>
      </c>
    </row>
    <row r="16" spans="2:16" ht="14.4">
      <c r="K16" s="1" t="s">
        <v>82</v>
      </c>
    </row>
    <row r="17" spans="2:13" ht="14.4">
      <c r="I17" s="76"/>
    </row>
    <row r="18" spans="2:13" ht="14.4">
      <c r="H18" s="1" t="s">
        <v>245</v>
      </c>
      <c r="K18" s="79" t="s">
        <v>247</v>
      </c>
    </row>
    <row r="19" spans="2:13" ht="14.4"/>
    <row r="20" spans="2:13" ht="14.4">
      <c r="B20" s="15" t="s">
        <v>8</v>
      </c>
      <c r="C20" s="15" t="s">
        <v>9</v>
      </c>
      <c r="D20" s="15" t="s">
        <v>10</v>
      </c>
      <c r="E20" s="15" t="s">
        <v>11</v>
      </c>
      <c r="F20" s="15" t="s">
        <v>66</v>
      </c>
      <c r="H20" s="73">
        <f>LARGE(F21:F29,1)</f>
        <v>100</v>
      </c>
    </row>
    <row r="21" spans="2:13" ht="14.4">
      <c r="B21" s="16" t="s">
        <v>20</v>
      </c>
      <c r="C21" s="16" t="s">
        <v>21</v>
      </c>
      <c r="D21" s="16">
        <v>6952214933</v>
      </c>
      <c r="E21" s="16" t="s">
        <v>22</v>
      </c>
      <c r="F21" s="14">
        <v>100</v>
      </c>
      <c r="K21" s="80" t="s">
        <v>249</v>
      </c>
      <c r="L21" s="80" t="s">
        <v>251</v>
      </c>
    </row>
    <row r="22" spans="2:13" ht="14.4">
      <c r="B22" s="16" t="s">
        <v>20</v>
      </c>
      <c r="C22" s="16" t="s">
        <v>27</v>
      </c>
      <c r="D22" s="16">
        <v>11290307768</v>
      </c>
      <c r="E22" s="16" t="s">
        <v>28</v>
      </c>
      <c r="F22" s="14">
        <v>89</v>
      </c>
    </row>
    <row r="23" spans="2:13" ht="14.4">
      <c r="B23" s="16" t="s">
        <v>20</v>
      </c>
      <c r="C23" s="16" t="s">
        <v>30</v>
      </c>
      <c r="D23" s="16">
        <v>34697625897</v>
      </c>
      <c r="E23" s="16" t="s">
        <v>31</v>
      </c>
      <c r="F23" s="14">
        <v>99</v>
      </c>
    </row>
    <row r="24" spans="2:13" ht="14.4">
      <c r="B24" s="16" t="s">
        <v>20</v>
      </c>
      <c r="C24" s="16" t="s">
        <v>33</v>
      </c>
      <c r="D24" s="16">
        <v>26669129300</v>
      </c>
      <c r="E24" s="16" t="s">
        <v>34</v>
      </c>
      <c r="F24" s="14">
        <v>100</v>
      </c>
      <c r="L24" s="79"/>
    </row>
    <row r="25" spans="2:13" ht="14.4">
      <c r="B25" s="16" t="s">
        <v>20</v>
      </c>
      <c r="C25" s="16" t="s">
        <v>36</v>
      </c>
      <c r="D25" s="16">
        <v>21892938804</v>
      </c>
      <c r="E25" s="16" t="s">
        <v>37</v>
      </c>
      <c r="F25" s="14">
        <v>0</v>
      </c>
      <c r="H25" s="1" t="s">
        <v>246</v>
      </c>
      <c r="K25" s="79" t="s">
        <v>248</v>
      </c>
    </row>
    <row r="26" spans="2:13" ht="14.4">
      <c r="B26" s="16" t="s">
        <v>20</v>
      </c>
      <c r="C26" s="16" t="s">
        <v>39</v>
      </c>
      <c r="D26" s="16">
        <v>69906505168</v>
      </c>
      <c r="E26" s="16" t="s">
        <v>40</v>
      </c>
      <c r="F26" s="14">
        <v>87</v>
      </c>
    </row>
    <row r="27" spans="2:13" ht="14.4">
      <c r="B27" s="16" t="s">
        <v>20</v>
      </c>
      <c r="C27" s="16" t="s">
        <v>41</v>
      </c>
      <c r="D27" s="16">
        <v>91139066153</v>
      </c>
      <c r="E27" s="16" t="s">
        <v>42</v>
      </c>
      <c r="F27" s="14">
        <v>88</v>
      </c>
      <c r="H27" s="73">
        <f>LARGE(F21:F29,3)</f>
        <v>99</v>
      </c>
      <c r="M27" s="80"/>
    </row>
    <row r="28" spans="2:13" ht="14.4">
      <c r="B28" s="16" t="s">
        <v>20</v>
      </c>
      <c r="C28" s="16" t="s">
        <v>43</v>
      </c>
      <c r="D28" s="16">
        <v>12654094472</v>
      </c>
      <c r="E28" s="16" t="s">
        <v>44</v>
      </c>
      <c r="F28" s="14">
        <v>85</v>
      </c>
      <c r="K28" s="80" t="s">
        <v>249</v>
      </c>
      <c r="L28" s="80" t="s">
        <v>250</v>
      </c>
    </row>
    <row r="29" spans="2:13" ht="14.4">
      <c r="B29" s="16" t="s">
        <v>20</v>
      </c>
      <c r="C29" s="16" t="s">
        <v>45</v>
      </c>
      <c r="D29" s="16">
        <v>4172832610</v>
      </c>
      <c r="E29" s="16" t="s">
        <v>46</v>
      </c>
      <c r="F29" s="14">
        <v>70</v>
      </c>
    </row>
    <row r="30" spans="2:13" ht="14.4"/>
    <row r="31" spans="2:13" ht="14.4"/>
    <row r="32" spans="2:13" ht="14.4"/>
    <row r="33" spans="4:4" ht="14.4"/>
    <row r="34" spans="4:4" ht="14.4"/>
    <row r="35" spans="4:4" ht="14.4">
      <c r="D35" s="81"/>
    </row>
    <row r="36" spans="4:4" ht="14.4"/>
    <row r="37" spans="4:4" ht="14.4"/>
    <row r="38" spans="4:4" ht="14.4"/>
    <row r="39" spans="4:4" ht="14.4" hidden="1"/>
    <row r="40" spans="4:4" ht="14.4" hidden="1"/>
    <row r="41" spans="4:4" ht="14.4" hidden="1"/>
    <row r="42" spans="4:4" ht="14.4" hidden="1"/>
    <row r="43" spans="4:4" ht="14.4" hidden="1"/>
    <row r="44" spans="4:4" ht="14.4" hidden="1"/>
    <row r="45" spans="4:4" ht="14.4" hidden="1"/>
    <row r="46" spans="4:4" ht="14.4" hidden="1"/>
    <row r="47" spans="4:4" ht="14.4" hidden="1"/>
    <row r="48" spans="4:4" ht="14.4" hidden="1"/>
    <row r="49" ht="14.4" hidden="1"/>
    <row r="50" ht="14.4" hidden="1"/>
    <row r="51" ht="14.4" hidden="1"/>
    <row r="52" ht="14.4" hidden="1"/>
    <row r="53" ht="14.4" hidden="1"/>
    <row r="54" ht="14.4" hidden="1"/>
    <row r="55" ht="14.4" hidden="1"/>
    <row r="56" ht="14.4" hidden="1"/>
    <row r="57" ht="14.4" hidden="1"/>
    <row r="58" ht="14.4" hidden="1"/>
    <row r="59" ht="14.4" hidden="1"/>
    <row r="60" ht="14.4" hidden="1"/>
    <row r="61" ht="14.4" hidden="1"/>
    <row r="62" ht="14.4" hidden="1"/>
    <row r="63" ht="14.4" hidden="1"/>
    <row r="64" ht="14.4" hidden="1"/>
    <row r="65" ht="14.4" hidden="1"/>
    <row r="66" ht="14.4" hidden="1"/>
    <row r="67" ht="14.4" hidden="1"/>
    <row r="68" ht="14.4" hidden="1"/>
    <row r="69" ht="14.4" hidden="1"/>
    <row r="70" ht="14.4" hidden="1"/>
    <row r="71" ht="14.4" hidden="1"/>
    <row r="72" ht="14.4" hidden="1"/>
    <row r="73" ht="14.4" hidden="1"/>
    <row r="74" ht="14.4" hidden="1"/>
    <row r="75" ht="14.4" hidden="1"/>
    <row r="76" ht="14.4" hidden="1"/>
    <row r="77" ht="14.4" hidden="1"/>
    <row r="78" ht="14.4" hidden="1"/>
    <row r="79" ht="14.4" hidden="1"/>
    <row r="80" ht="14.4" hidden="1"/>
    <row r="81" ht="14.4" hidden="1"/>
    <row r="82" ht="14.4" hidden="1"/>
    <row r="83" ht="14.4" hidden="1"/>
    <row r="84" ht="14.4" hidden="1"/>
    <row r="85" ht="14.4" hidden="1"/>
    <row r="86" ht="14.4" hidden="1"/>
    <row r="87" ht="14.4" hidden="1"/>
    <row r="88" ht="14.4" hidden="1"/>
    <row r="89" ht="14.4" hidden="1"/>
    <row r="90" ht="14.4" hidden="1"/>
    <row r="91" ht="14.4" hidden="1"/>
    <row r="92" ht="14.4" hidden="1"/>
    <row r="93" ht="14.4" hidden="1"/>
    <row r="94" ht="14.4" hidden="1"/>
    <row r="95" ht="14.4" hidden="1"/>
    <row r="96" ht="14.4" hidden="1"/>
    <row r="97" ht="14.4" hidden="1"/>
    <row r="98" ht="14.4" hidden="1"/>
    <row r="99" ht="14.4" hidden="1"/>
    <row r="100" ht="14.4" hidden="1"/>
    <row r="101" ht="14.4" hidden="1"/>
    <row r="102" ht="14.4" hidden="1"/>
    <row r="103" ht="14.4" hidden="1"/>
  </sheetData>
  <mergeCells count="1">
    <mergeCell ref="B9:L12"/>
  </mergeCells>
  <pageMargins left="0.511811024" right="0.511811024" top="0.78740157499999996" bottom="0.78740157499999996" header="0.31496062000000002" footer="0.31496062000000002"/>
  <drawing r:id="rId1"/>
</worksheet>
</file>

<file path=xl/worksheets/sheet17.xml><?xml version="1.0" encoding="utf-8"?>
<worksheet xmlns="http://schemas.openxmlformats.org/spreadsheetml/2006/main" xmlns:r="http://schemas.openxmlformats.org/officeDocument/2006/relationships">
  <dimension ref="B1:P103"/>
  <sheetViews>
    <sheetView showGridLines="0" showRowColHeaders="0" workbookViewId="0"/>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8.109375" bestFit="1" customWidth="1"/>
  </cols>
  <sheetData>
    <row r="1" spans="2:16" ht="14.4"/>
    <row r="2" spans="2:16" ht="14.4"/>
    <row r="3" spans="2:16" ht="14.4"/>
    <row r="4" spans="2:16" ht="14.4"/>
    <row r="5" spans="2:16" ht="14.4"/>
    <row r="6" spans="2:16" ht="14.4"/>
    <row r="7" spans="2:16" ht="23.4">
      <c r="B7" s="6" t="s">
        <v>252</v>
      </c>
    </row>
    <row r="8" spans="2:16" ht="14.4"/>
    <row r="9" spans="2:16" ht="14.4">
      <c r="B9" s="127" t="s">
        <v>253</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C14" s="68"/>
      <c r="D14" s="68"/>
      <c r="E14" s="68"/>
      <c r="F14" s="68"/>
      <c r="G14" s="68"/>
      <c r="H14" s="68"/>
      <c r="I14" s="68"/>
      <c r="J14" s="68"/>
      <c r="K14" s="68"/>
      <c r="L14" s="68"/>
      <c r="M14" s="68"/>
      <c r="N14" s="68"/>
      <c r="O14" s="68"/>
    </row>
    <row r="15" spans="2:16" ht="23.4">
      <c r="B15" s="7" t="s">
        <v>72</v>
      </c>
    </row>
    <row r="16" spans="2:16" ht="14.4">
      <c r="K16" s="1" t="s">
        <v>82</v>
      </c>
    </row>
    <row r="17" spans="2:13" ht="14.4">
      <c r="I17" s="76"/>
    </row>
    <row r="18" spans="2:13" ht="14.4">
      <c r="H18" s="1" t="s">
        <v>254</v>
      </c>
      <c r="K18" s="79" t="s">
        <v>256</v>
      </c>
    </row>
    <row r="19" spans="2:13" ht="14.4"/>
    <row r="20" spans="2:13" ht="14.4">
      <c r="B20" s="15" t="s">
        <v>8</v>
      </c>
      <c r="C20" s="15" t="s">
        <v>9</v>
      </c>
      <c r="D20" s="15" t="s">
        <v>10</v>
      </c>
      <c r="E20" s="15" t="s">
        <v>11</v>
      </c>
      <c r="F20" s="15" t="s">
        <v>66</v>
      </c>
      <c r="H20" s="83">
        <f>SMALL(F21:F29,1)</f>
        <v>0</v>
      </c>
    </row>
    <row r="21" spans="2:13" ht="14.4">
      <c r="B21" s="16" t="s">
        <v>20</v>
      </c>
      <c r="C21" s="16" t="s">
        <v>21</v>
      </c>
      <c r="D21" s="16">
        <v>6952214933</v>
      </c>
      <c r="E21" s="16" t="s">
        <v>22</v>
      </c>
      <c r="F21" s="14">
        <v>100</v>
      </c>
      <c r="K21" s="80" t="s">
        <v>249</v>
      </c>
      <c r="L21" s="80" t="s">
        <v>259</v>
      </c>
    </row>
    <row r="22" spans="2:13" ht="14.4">
      <c r="B22" s="16" t="s">
        <v>20</v>
      </c>
      <c r="C22" s="16" t="s">
        <v>27</v>
      </c>
      <c r="D22" s="16">
        <v>11290307768</v>
      </c>
      <c r="E22" s="16" t="s">
        <v>28</v>
      </c>
      <c r="F22" s="14">
        <v>89</v>
      </c>
    </row>
    <row r="23" spans="2:13" ht="14.4">
      <c r="B23" s="16" t="s">
        <v>20</v>
      </c>
      <c r="C23" s="16" t="s">
        <v>30</v>
      </c>
      <c r="D23" s="16">
        <v>34697625897</v>
      </c>
      <c r="E23" s="16" t="s">
        <v>31</v>
      </c>
      <c r="F23" s="14">
        <v>99</v>
      </c>
    </row>
    <row r="24" spans="2:13" ht="14.4">
      <c r="B24" s="16" t="s">
        <v>20</v>
      </c>
      <c r="C24" s="16" t="s">
        <v>33</v>
      </c>
      <c r="D24" s="16">
        <v>26669129300</v>
      </c>
      <c r="E24" s="16" t="s">
        <v>34</v>
      </c>
      <c r="F24" s="14">
        <v>100</v>
      </c>
      <c r="L24" s="79"/>
    </row>
    <row r="25" spans="2:13" ht="14.4">
      <c r="B25" s="16" t="s">
        <v>20</v>
      </c>
      <c r="C25" s="16" t="s">
        <v>36</v>
      </c>
      <c r="D25" s="16">
        <v>21892938804</v>
      </c>
      <c r="E25" s="16" t="s">
        <v>37</v>
      </c>
      <c r="F25" s="14">
        <v>0</v>
      </c>
      <c r="H25" s="1" t="s">
        <v>255</v>
      </c>
      <c r="K25" s="79" t="s">
        <v>257</v>
      </c>
    </row>
    <row r="26" spans="2:13" ht="14.4">
      <c r="B26" s="16" t="s">
        <v>20</v>
      </c>
      <c r="C26" s="16" t="s">
        <v>39</v>
      </c>
      <c r="D26" s="16">
        <v>69906505168</v>
      </c>
      <c r="E26" s="16" t="s">
        <v>40</v>
      </c>
      <c r="F26" s="14">
        <v>87</v>
      </c>
    </row>
    <row r="27" spans="2:13" ht="14.4">
      <c r="B27" s="16" t="s">
        <v>20</v>
      </c>
      <c r="C27" s="16" t="s">
        <v>41</v>
      </c>
      <c r="D27" s="16">
        <v>91139066153</v>
      </c>
      <c r="E27" s="16" t="s">
        <v>42</v>
      </c>
      <c r="F27" s="14">
        <v>88</v>
      </c>
      <c r="H27" s="83">
        <f>SMALL(F21:F29,3)</f>
        <v>85</v>
      </c>
      <c r="M27" s="80"/>
    </row>
    <row r="28" spans="2:13" ht="14.4">
      <c r="B28" s="16" t="s">
        <v>20</v>
      </c>
      <c r="C28" s="16" t="s">
        <v>43</v>
      </c>
      <c r="D28" s="16">
        <v>12654094472</v>
      </c>
      <c r="E28" s="16" t="s">
        <v>44</v>
      </c>
      <c r="F28" s="14">
        <v>85</v>
      </c>
      <c r="K28" s="80" t="s">
        <v>249</v>
      </c>
      <c r="L28" s="80" t="s">
        <v>258</v>
      </c>
    </row>
    <row r="29" spans="2:13" ht="14.4">
      <c r="B29" s="16" t="s">
        <v>20</v>
      </c>
      <c r="C29" s="16" t="s">
        <v>45</v>
      </c>
      <c r="D29" s="16">
        <v>4172832610</v>
      </c>
      <c r="E29" s="16" t="s">
        <v>46</v>
      </c>
      <c r="F29" s="14">
        <v>70</v>
      </c>
    </row>
    <row r="30" spans="2:13" ht="14.4"/>
    <row r="31" spans="2:13" ht="14.4"/>
    <row r="32" spans="2:13" ht="14.4"/>
    <row r="33" spans="4:4" ht="14.4"/>
    <row r="34" spans="4:4" ht="14.4"/>
    <row r="35" spans="4:4" ht="14.4">
      <c r="D35" s="81"/>
    </row>
    <row r="36" spans="4:4" ht="14.4"/>
    <row r="37" spans="4:4" ht="14.4"/>
    <row r="38" spans="4:4" ht="14.4"/>
    <row r="39" spans="4:4" ht="14.4"/>
    <row r="40" spans="4:4" ht="14.4" hidden="1"/>
    <row r="41" spans="4:4" ht="14.4" hidden="1"/>
    <row r="42" spans="4:4" ht="14.4" hidden="1"/>
    <row r="43" spans="4:4" ht="14.4" hidden="1"/>
    <row r="44" spans="4:4" ht="14.4" hidden="1"/>
    <row r="45" spans="4:4" ht="14.4" hidden="1"/>
    <row r="46" spans="4:4" ht="14.4" hidden="1"/>
    <row r="47" spans="4:4" ht="14.4" hidden="1"/>
    <row r="48" spans="4:4" ht="14.4" hidden="1"/>
    <row r="49" ht="14.4" hidden="1"/>
    <row r="50" ht="14.4" hidden="1"/>
    <row r="51" ht="14.4" hidden="1"/>
    <row r="52" ht="14.4" hidden="1"/>
    <row r="53" ht="14.4" hidden="1"/>
    <row r="54" ht="14.4" hidden="1"/>
    <row r="55" ht="14.4" hidden="1"/>
    <row r="56" ht="14.4" hidden="1"/>
    <row r="57" ht="14.4" hidden="1"/>
    <row r="58" ht="14.4" hidden="1"/>
    <row r="59" ht="14.4" hidden="1"/>
    <row r="60" ht="14.4" hidden="1"/>
    <row r="61" ht="14.4" hidden="1"/>
    <row r="62" ht="14.4" hidden="1"/>
    <row r="63" ht="14.4" hidden="1"/>
    <row r="64" ht="14.4" hidden="1"/>
    <row r="65" ht="14.4" hidden="1"/>
    <row r="66" ht="14.4" hidden="1"/>
    <row r="67" ht="14.4" hidden="1"/>
    <row r="68" ht="14.4" hidden="1"/>
    <row r="69" ht="14.4" hidden="1"/>
    <row r="70" ht="14.4" hidden="1"/>
    <row r="71" ht="14.4" hidden="1"/>
    <row r="72" ht="14.4" hidden="1"/>
    <row r="73" ht="14.4" hidden="1"/>
    <row r="74" ht="14.4" hidden="1"/>
    <row r="75" ht="14.4" hidden="1"/>
    <row r="76" ht="14.4" hidden="1"/>
    <row r="77" ht="14.4" hidden="1"/>
    <row r="78" ht="14.4" hidden="1"/>
    <row r="79" ht="14.4" hidden="1"/>
    <row r="80" ht="14.4" hidden="1"/>
    <row r="81" ht="14.4" hidden="1"/>
    <row r="82" ht="14.4" hidden="1"/>
    <row r="83" ht="14.4" hidden="1"/>
    <row r="84" ht="14.4" hidden="1"/>
    <row r="85" ht="14.4" hidden="1"/>
    <row r="86" ht="14.4" hidden="1"/>
    <row r="87" ht="14.4" hidden="1"/>
    <row r="88" ht="14.4" hidden="1"/>
    <row r="89" ht="14.4" hidden="1"/>
    <row r="90" ht="14.4" hidden="1"/>
    <row r="91" ht="14.4" hidden="1"/>
    <row r="92" ht="14.4" hidden="1"/>
    <row r="93" ht="14.4" hidden="1"/>
    <row r="94" ht="14.4" hidden="1"/>
    <row r="95" ht="14.4" hidden="1"/>
    <row r="96" ht="14.4" hidden="1"/>
    <row r="97" ht="14.4" hidden="1"/>
    <row r="98" ht="14.4" hidden="1"/>
    <row r="99" ht="14.4" hidden="1"/>
    <row r="100" ht="14.4" hidden="1"/>
    <row r="101" ht="14.4" hidden="1"/>
    <row r="102" ht="14.4" hidden="1"/>
    <row r="103" ht="14.4" hidden="1"/>
  </sheetData>
  <mergeCells count="1">
    <mergeCell ref="B9:L12"/>
  </mergeCells>
  <pageMargins left="0.511811024" right="0.511811024" top="0.78740157499999996" bottom="0.78740157499999996" header="0.31496062000000002" footer="0.31496062000000002"/>
  <drawing r:id="rId1"/>
</worksheet>
</file>

<file path=xl/worksheets/sheet18.xml><?xml version="1.0" encoding="utf-8"?>
<worksheet xmlns="http://schemas.openxmlformats.org/spreadsheetml/2006/main" xmlns:r="http://schemas.openxmlformats.org/officeDocument/2006/relationships">
  <dimension ref="B1:P103"/>
  <sheetViews>
    <sheetView showGridLines="0" showRowColHeaders="0" topLeftCell="G1" workbookViewId="0"/>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8.109375" bestFit="1" customWidth="1"/>
  </cols>
  <sheetData>
    <row r="1" spans="2:16" ht="14.4"/>
    <row r="2" spans="2:16" ht="14.4"/>
    <row r="3" spans="2:16" ht="14.4"/>
    <row r="4" spans="2:16" ht="14.4"/>
    <row r="5" spans="2:16" ht="14.4"/>
    <row r="6" spans="2:16" ht="14.4"/>
    <row r="7" spans="2:16" ht="23.4">
      <c r="B7" s="6" t="s">
        <v>260</v>
      </c>
    </row>
    <row r="8" spans="2:16" ht="14.4"/>
    <row r="9" spans="2:16" ht="14.4">
      <c r="B9" s="127" t="s">
        <v>261</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C14" s="68"/>
      <c r="D14" s="68"/>
      <c r="E14" s="68"/>
      <c r="F14" s="68"/>
      <c r="G14" s="68"/>
      <c r="H14" s="68"/>
      <c r="I14" s="68"/>
      <c r="J14" s="68"/>
      <c r="K14" s="68"/>
      <c r="L14" s="68"/>
      <c r="M14" s="68"/>
      <c r="N14" s="68"/>
      <c r="O14" s="68"/>
    </row>
    <row r="15" spans="2:16" ht="23.4">
      <c r="B15" s="7" t="s">
        <v>72</v>
      </c>
    </row>
    <row r="16" spans="2:16" ht="14.4">
      <c r="K16" s="1"/>
    </row>
    <row r="17" spans="2:15" ht="14.4">
      <c r="I17" s="76"/>
    </row>
    <row r="18" spans="2:15" ht="14.4">
      <c r="H18" s="1"/>
      <c r="K18" s="79"/>
    </row>
    <row r="19" spans="2:15" ht="14.4"/>
    <row r="20" spans="2:15" ht="14.4">
      <c r="B20" s="15" t="s">
        <v>8</v>
      </c>
      <c r="C20" s="15" t="s">
        <v>9</v>
      </c>
      <c r="D20" s="15" t="s">
        <v>10</v>
      </c>
      <c r="E20" s="15" t="s">
        <v>11</v>
      </c>
      <c r="F20" s="15" t="s">
        <v>66</v>
      </c>
      <c r="H20" s="84"/>
    </row>
    <row r="21" spans="2:15" ht="18">
      <c r="B21" s="16" t="s">
        <v>20</v>
      </c>
      <c r="C21" s="16" t="s">
        <v>21</v>
      </c>
      <c r="D21" s="16">
        <v>6952214933</v>
      </c>
      <c r="E21" s="16" t="s">
        <v>22</v>
      </c>
      <c r="F21" s="14">
        <v>100</v>
      </c>
      <c r="K21" s="88" t="s">
        <v>262</v>
      </c>
      <c r="L21" s="80"/>
    </row>
    <row r="22" spans="2:15" ht="14.4">
      <c r="B22" s="16" t="s">
        <v>20</v>
      </c>
      <c r="C22" s="16" t="s">
        <v>27</v>
      </c>
      <c r="D22" s="16">
        <v>11290307768</v>
      </c>
      <c r="E22" s="16" t="s">
        <v>28</v>
      </c>
      <c r="F22" s="14">
        <v>89</v>
      </c>
    </row>
    <row r="23" spans="2:15" ht="14.4">
      <c r="B23" s="16" t="s">
        <v>20</v>
      </c>
      <c r="C23" s="16" t="s">
        <v>30</v>
      </c>
      <c r="D23" s="16">
        <v>34697625897</v>
      </c>
      <c r="E23" s="16" t="s">
        <v>31</v>
      </c>
      <c r="F23" s="14">
        <v>99</v>
      </c>
    </row>
    <row r="24" spans="2:15" ht="21">
      <c r="B24" s="16" t="s">
        <v>20</v>
      </c>
      <c r="C24" s="16" t="s">
        <v>33</v>
      </c>
      <c r="D24" s="16">
        <v>26669129300</v>
      </c>
      <c r="E24" s="16" t="s">
        <v>34</v>
      </c>
      <c r="F24" s="14">
        <v>100</v>
      </c>
      <c r="H24" s="5" t="s">
        <v>67</v>
      </c>
      <c r="L24" s="79"/>
    </row>
    <row r="25" spans="2:15" ht="14.4">
      <c r="B25" s="16" t="s">
        <v>20</v>
      </c>
      <c r="C25" s="16" t="s">
        <v>36</v>
      </c>
      <c r="D25" s="16">
        <v>21892938804</v>
      </c>
      <c r="E25" s="16" t="s">
        <v>37</v>
      </c>
      <c r="F25" s="14">
        <v>0</v>
      </c>
      <c r="H25" s="1"/>
      <c r="K25" s="79"/>
    </row>
    <row r="26" spans="2:15" ht="14.4">
      <c r="B26" s="16" t="s">
        <v>20</v>
      </c>
      <c r="C26" s="16" t="s">
        <v>39</v>
      </c>
      <c r="D26" s="16">
        <v>69906505168</v>
      </c>
      <c r="E26" s="16" t="s">
        <v>40</v>
      </c>
      <c r="F26" s="14">
        <v>87</v>
      </c>
      <c r="H26" s="87" t="s">
        <v>264</v>
      </c>
    </row>
    <row r="27" spans="2:15" ht="14.4">
      <c r="B27" s="16" t="s">
        <v>20</v>
      </c>
      <c r="C27" s="16" t="s">
        <v>41</v>
      </c>
      <c r="D27" s="16">
        <v>91139066153</v>
      </c>
      <c r="E27" s="16" t="s">
        <v>42</v>
      </c>
      <c r="F27" s="14">
        <v>88</v>
      </c>
      <c r="H27" s="84"/>
      <c r="M27" s="80"/>
    </row>
    <row r="28" spans="2:15" ht="14.4">
      <c r="B28" s="16" t="s">
        <v>20</v>
      </c>
      <c r="C28" s="16" t="s">
        <v>43</v>
      </c>
      <c r="D28" s="16">
        <v>12654094472</v>
      </c>
      <c r="E28" s="16" t="s">
        <v>44</v>
      </c>
      <c r="F28" s="14">
        <v>85</v>
      </c>
      <c r="H28" t="s">
        <v>263</v>
      </c>
      <c r="I28" s="136" t="s">
        <v>265</v>
      </c>
      <c r="J28" s="136"/>
      <c r="K28" s="136"/>
      <c r="L28" s="136"/>
      <c r="M28" s="136"/>
      <c r="N28" s="136"/>
      <c r="O28" s="136"/>
    </row>
    <row r="29" spans="2:15" ht="14.4">
      <c r="B29" s="16" t="s">
        <v>20</v>
      </c>
      <c r="C29" s="16" t="s">
        <v>45</v>
      </c>
      <c r="D29" s="16">
        <v>4172832610</v>
      </c>
      <c r="E29" s="16" t="s">
        <v>46</v>
      </c>
      <c r="F29" s="14">
        <v>70</v>
      </c>
      <c r="I29" s="136"/>
      <c r="J29" s="136"/>
      <c r="K29" s="136"/>
      <c r="L29" s="136"/>
      <c r="M29" s="136"/>
      <c r="N29" s="136"/>
      <c r="O29" s="136"/>
    </row>
    <row r="30" spans="2:15" ht="14.4">
      <c r="L30" s="80"/>
    </row>
    <row r="31" spans="2:15" ht="14.4">
      <c r="J31" s="15" t="s">
        <v>8</v>
      </c>
      <c r="K31" s="15" t="s">
        <v>9</v>
      </c>
    </row>
    <row r="32" spans="2:15" ht="14.4">
      <c r="J32" s="85" t="s">
        <v>20</v>
      </c>
      <c r="K32" s="16" t="s">
        <v>21</v>
      </c>
    </row>
    <row r="33" spans="4:11" ht="14.4">
      <c r="J33" s="16" t="s">
        <v>20</v>
      </c>
      <c r="K33" s="16" t="s">
        <v>27</v>
      </c>
    </row>
    <row r="34" spans="4:11" ht="14.4"/>
    <row r="35" spans="4:11" ht="14.4">
      <c r="D35" s="81"/>
    </row>
    <row r="36" spans="4:11" ht="14.4"/>
    <row r="37" spans="4:11" ht="14.4"/>
    <row r="38" spans="4:11" ht="14.4"/>
    <row r="39" spans="4:11" ht="14.4"/>
    <row r="40" spans="4:11" ht="14.4"/>
    <row r="41" spans="4:11" ht="14.4"/>
    <row r="42" spans="4:11" ht="14.4"/>
    <row r="43" spans="4:11" ht="14.4"/>
    <row r="44" spans="4:11" ht="14.4"/>
    <row r="45" spans="4:11" ht="14.4"/>
    <row r="46" spans="4:11" ht="14.4"/>
    <row r="47" spans="4:11" ht="14.4"/>
    <row r="48" spans="4:11" ht="14.4"/>
    <row r="49" ht="14.4"/>
    <row r="50" ht="14.4"/>
    <row r="51" ht="14.4"/>
    <row r="52" ht="14.4"/>
    <row r="53" ht="14.4"/>
    <row r="54" ht="14.4"/>
    <row r="55" ht="14.4"/>
    <row r="56" ht="14.4"/>
    <row r="57" ht="14.4"/>
    <row r="58" ht="14.4"/>
    <row r="59" ht="14.4"/>
    <row r="60" ht="14.4"/>
    <row r="61" ht="14.4"/>
    <row r="62" ht="14.4"/>
    <row r="63" ht="14.4"/>
    <row r="64" ht="14.4"/>
    <row r="65" ht="14.4"/>
    <row r="66" ht="14.4"/>
    <row r="67" ht="14.4"/>
    <row r="68" ht="14.4"/>
    <row r="69" ht="14.4"/>
    <row r="70" ht="14.4"/>
    <row r="71" ht="14.4"/>
    <row r="72" ht="14.4"/>
    <row r="73" ht="14.4"/>
    <row r="74" ht="14.4"/>
    <row r="75" ht="14.4"/>
    <row r="76" ht="14.4"/>
    <row r="77" ht="14.4"/>
    <row r="78" ht="14.4"/>
    <row r="79" ht="14.4"/>
    <row r="80" ht="14.4"/>
    <row r="81" ht="14.4"/>
    <row r="82" ht="14.4"/>
    <row r="83" ht="14.4"/>
    <row r="84" ht="14.4"/>
    <row r="85" ht="14.4"/>
    <row r="86" ht="14.4"/>
    <row r="87" ht="14.4"/>
    <row r="88" ht="14.4"/>
    <row r="89" ht="14.4"/>
    <row r="90" ht="14.4"/>
    <row r="91" ht="14.4"/>
    <row r="92" ht="14.4"/>
    <row r="93" ht="14.4"/>
    <row r="94" ht="14.4"/>
    <row r="95" ht="14.4"/>
    <row r="96" ht="14.4"/>
    <row r="97" ht="14.4"/>
    <row r="98" ht="14.4"/>
    <row r="99" ht="14.4"/>
    <row r="100" ht="14.4"/>
    <row r="101" ht="14.4"/>
    <row r="102" ht="14.4"/>
    <row r="103" ht="14.4"/>
  </sheetData>
  <mergeCells count="2">
    <mergeCell ref="B9:L12"/>
    <mergeCell ref="I28:O29"/>
  </mergeCells>
  <pageMargins left="0.511811024" right="0.511811024" top="0.78740157499999996" bottom="0.78740157499999996" header="0.31496062000000002" footer="0.31496062000000002"/>
  <drawing r:id="rId1"/>
</worksheet>
</file>

<file path=xl/worksheets/sheet19.xml><?xml version="1.0" encoding="utf-8"?>
<worksheet xmlns="http://schemas.openxmlformats.org/spreadsheetml/2006/main" xmlns:r="http://schemas.openxmlformats.org/officeDocument/2006/relationships">
  <dimension ref="B1:P103"/>
  <sheetViews>
    <sheetView showGridLines="0" showRowColHeaders="0" topLeftCell="F1" workbookViewId="0">
      <selection activeCell="H30" sqref="H30"/>
    </sheetView>
  </sheetViews>
  <sheetFormatPr defaultRowHeight="15" customHeight="1" zeroHeight="1"/>
  <cols>
    <col min="1" max="1" width="3.6640625" customWidth="1"/>
    <col min="2" max="2" width="21" customWidth="1"/>
    <col min="3" max="3" width="12.109375" customWidth="1"/>
    <col min="4" max="4" width="12" bestFit="1" customWidth="1"/>
    <col min="6" max="6" width="14.109375" bestFit="1" customWidth="1"/>
    <col min="8" max="8" width="12.6640625" customWidth="1"/>
    <col min="9" max="9" width="12.44140625" bestFit="1" customWidth="1"/>
    <col min="10" max="10" width="14.33203125" customWidth="1"/>
    <col min="11" max="11" width="18.109375" bestFit="1" customWidth="1"/>
  </cols>
  <sheetData>
    <row r="1" spans="2:16" ht="14.4"/>
    <row r="2" spans="2:16" ht="14.4"/>
    <row r="3" spans="2:16" ht="14.4"/>
    <row r="4" spans="2:16" ht="14.4"/>
    <row r="5" spans="2:16" ht="14.4"/>
    <row r="6" spans="2:16" ht="14.4"/>
    <row r="7" spans="2:16" ht="23.4">
      <c r="B7" s="6" t="s">
        <v>266</v>
      </c>
    </row>
    <row r="8" spans="2:16" ht="14.4"/>
    <row r="9" spans="2:16" ht="14.4">
      <c r="B9" s="127" t="s">
        <v>267</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C14" s="68"/>
      <c r="D14" s="68"/>
      <c r="E14" s="68"/>
      <c r="F14" s="68"/>
      <c r="G14" s="68"/>
      <c r="H14" s="68"/>
      <c r="I14" s="68"/>
      <c r="J14" s="68"/>
      <c r="K14" s="68"/>
      <c r="L14" s="68"/>
      <c r="M14" s="68"/>
      <c r="N14" s="68"/>
      <c r="O14" s="68"/>
    </row>
    <row r="15" spans="2:16" ht="23.4">
      <c r="B15" s="7" t="s">
        <v>7</v>
      </c>
    </row>
    <row r="16" spans="2:16" ht="14.4"/>
    <row r="17" spans="2:8" ht="14.4">
      <c r="B17" t="s">
        <v>263</v>
      </c>
    </row>
    <row r="18" spans="2:8" ht="14.4">
      <c r="B18" s="1" t="s">
        <v>268</v>
      </c>
    </row>
    <row r="19" spans="2:8" ht="14.4"/>
    <row r="20" spans="2:8" ht="14.4">
      <c r="B20" s="93" t="s">
        <v>105</v>
      </c>
      <c r="C20" s="90"/>
      <c r="D20" s="91"/>
      <c r="F20" s="93" t="s">
        <v>272</v>
      </c>
      <c r="G20" s="92" t="s">
        <v>275</v>
      </c>
    </row>
    <row r="21" spans="2:8" ht="14.4">
      <c r="B21" s="93" t="s">
        <v>269</v>
      </c>
      <c r="C21" s="90"/>
      <c r="D21" s="91"/>
    </row>
    <row r="22" spans="2:8" ht="14.4">
      <c r="B22" s="93" t="s">
        <v>270</v>
      </c>
      <c r="C22" s="92" t="s">
        <v>273</v>
      </c>
    </row>
    <row r="23" spans="2:8" ht="14.4"/>
    <row r="24" spans="2:8" ht="14.4">
      <c r="B24" s="93" t="s">
        <v>271</v>
      </c>
      <c r="C24" s="92" t="s">
        <v>274</v>
      </c>
    </row>
    <row r="25" spans="2:8" ht="14.4"/>
    <row r="26" spans="2:8" ht="14.4"/>
    <row r="27" spans="2:8" ht="14.4"/>
    <row r="28" spans="2:8" ht="23.4">
      <c r="B28" s="7" t="s">
        <v>72</v>
      </c>
    </row>
    <row r="29" spans="2:8" ht="14.4"/>
    <row r="30" spans="2:8" ht="14.4">
      <c r="B30" s="1" t="s">
        <v>276</v>
      </c>
      <c r="H30" s="94" t="s">
        <v>273</v>
      </c>
    </row>
    <row r="31" spans="2:8" ht="14.4"/>
    <row r="32" spans="2:8" ht="14.4">
      <c r="B32" s="1" t="s">
        <v>277</v>
      </c>
    </row>
    <row r="33" spans="2:14" ht="14.4"/>
    <row r="34" spans="2:14" ht="14.4"/>
    <row r="35" spans="2:14" ht="14.4"/>
    <row r="36" spans="2:14" ht="14.4"/>
    <row r="37" spans="2:14" ht="14.4"/>
    <row r="38" spans="2:14" ht="14.4"/>
    <row r="39" spans="2:14" ht="14.4"/>
    <row r="40" spans="2:14" ht="14.4">
      <c r="B40" s="1" t="s">
        <v>278</v>
      </c>
    </row>
    <row r="41" spans="2:14" ht="14.4"/>
    <row r="42" spans="2:14" ht="14.4"/>
    <row r="43" spans="2:14" ht="18">
      <c r="B43" s="1" t="s">
        <v>280</v>
      </c>
      <c r="K43" s="124" t="s">
        <v>350</v>
      </c>
    </row>
    <row r="44" spans="2:14" ht="14.4">
      <c r="B44" s="95" t="s">
        <v>281</v>
      </c>
      <c r="K44" s="158" t="s">
        <v>349</v>
      </c>
      <c r="L44" s="158"/>
      <c r="M44" s="158"/>
      <c r="N44" s="158"/>
    </row>
    <row r="45" spans="2:14" ht="14.4">
      <c r="K45" s="158"/>
      <c r="L45" s="158"/>
      <c r="M45" s="158"/>
      <c r="N45" s="158"/>
    </row>
    <row r="46" spans="2:14" ht="14.4">
      <c r="B46" s="1" t="s">
        <v>279</v>
      </c>
      <c r="K46" s="158"/>
      <c r="L46" s="158"/>
      <c r="M46" s="158"/>
      <c r="N46" s="158"/>
    </row>
    <row r="47" spans="2:14" ht="14.4">
      <c r="K47" s="158"/>
      <c r="L47" s="158"/>
      <c r="M47" s="158"/>
      <c r="N47" s="158"/>
    </row>
    <row r="48" spans="2:14" ht="14.4"/>
    <row r="49" ht="14.4"/>
    <row r="50" ht="14.4"/>
    <row r="51" ht="14.4"/>
    <row r="52" ht="14.4"/>
    <row r="53" ht="14.4"/>
    <row r="54" ht="14.4"/>
    <row r="55" ht="14.4"/>
    <row r="56" ht="14.4"/>
    <row r="57" ht="14.4"/>
    <row r="58" ht="14.4"/>
    <row r="59" ht="14.4"/>
    <row r="60" ht="14.4"/>
    <row r="61" ht="14.4"/>
    <row r="62" ht="14.4"/>
    <row r="63" ht="14.4" hidden="1"/>
    <row r="64" ht="14.4" hidden="1"/>
    <row r="65" ht="14.4" hidden="1"/>
    <row r="66" ht="14.4" hidden="1"/>
    <row r="67" ht="14.4" hidden="1"/>
    <row r="68" ht="14.4" hidden="1"/>
    <row r="69" ht="14.4" hidden="1"/>
    <row r="70" ht="14.4" hidden="1"/>
    <row r="71" ht="14.4" hidden="1"/>
    <row r="72" ht="14.4" hidden="1"/>
    <row r="73" ht="14.4" hidden="1"/>
    <row r="74" ht="14.4" hidden="1"/>
    <row r="75" ht="14.4" hidden="1"/>
    <row r="76" ht="14.4" hidden="1"/>
    <row r="77" ht="14.4" hidden="1"/>
    <row r="78" ht="14.4" hidden="1"/>
    <row r="79" ht="14.4" hidden="1"/>
    <row r="80" ht="14.4" hidden="1"/>
    <row r="81" ht="14.4" hidden="1"/>
    <row r="82" ht="14.4" hidden="1"/>
    <row r="83" ht="14.4" hidden="1"/>
    <row r="84" ht="14.4" hidden="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sheetData>
  <mergeCells count="2">
    <mergeCell ref="B9:L12"/>
    <mergeCell ref="K44:N47"/>
  </mergeCells>
  <dataValidations count="2">
    <dataValidation type="list" allowBlank="1" showInputMessage="1" showErrorMessage="1" sqref="G20 C24">
      <formula1>"Sim,Não"</formula1>
    </dataValidation>
    <dataValidation type="list" allowBlank="1" showInputMessage="1" showErrorMessage="1" sqref="C22 H30">
      <formula1>"Masculino,Feminino"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20.xml><?xml version="1.0" encoding="utf-8"?>
<worksheet xmlns="http://schemas.openxmlformats.org/spreadsheetml/2006/main" xmlns:r="http://schemas.openxmlformats.org/officeDocument/2006/relationships">
  <dimension ref="B1:P103"/>
  <sheetViews>
    <sheetView showGridLines="0" showRowColHeaders="0" topLeftCell="E1" workbookViewId="0"/>
  </sheetViews>
  <sheetFormatPr defaultRowHeight="15" customHeight="1" zeroHeight="1"/>
  <cols>
    <col min="1" max="1" width="3.6640625" customWidth="1"/>
    <col min="2" max="2" width="19.109375" bestFit="1" customWidth="1"/>
    <col min="3" max="3" width="13" customWidth="1"/>
    <col min="4" max="4" width="12" bestFit="1" customWidth="1"/>
    <col min="6" max="6" width="14.109375" bestFit="1" customWidth="1"/>
    <col min="8" max="8" width="12.6640625" customWidth="1"/>
    <col min="9" max="9" width="12.44140625" bestFit="1" customWidth="1"/>
    <col min="10" max="10" width="14.33203125" customWidth="1"/>
    <col min="11" max="11" width="18.109375" bestFit="1" customWidth="1"/>
  </cols>
  <sheetData>
    <row r="1" spans="2:16" ht="14.4"/>
    <row r="2" spans="2:16" ht="14.4"/>
    <row r="3" spans="2:16" ht="14.4"/>
    <row r="4" spans="2:16" ht="14.4"/>
    <row r="5" spans="2:16" ht="14.4"/>
    <row r="6" spans="2:16" ht="14.4"/>
    <row r="7" spans="2:16" ht="23.4">
      <c r="B7" s="6" t="s">
        <v>282</v>
      </c>
    </row>
    <row r="8" spans="2:16" ht="14.4"/>
    <row r="9" spans="2:16" ht="14.4">
      <c r="B9" s="127" t="s">
        <v>306</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C14" s="68"/>
      <c r="D14" s="68"/>
      <c r="E14" s="68"/>
      <c r="F14" s="68"/>
      <c r="G14" s="68"/>
      <c r="H14" s="68"/>
      <c r="I14" s="68"/>
      <c r="J14" s="68"/>
      <c r="K14" s="68"/>
      <c r="L14" s="68"/>
      <c r="M14" s="68"/>
      <c r="N14" s="68"/>
      <c r="O14" s="68"/>
    </row>
    <row r="15" spans="2:16" ht="23.4">
      <c r="B15" s="7" t="s">
        <v>7</v>
      </c>
      <c r="H15" s="109">
        <f ca="1">TODAY()</f>
        <v>42893</v>
      </c>
    </row>
    <row r="16" spans="2:16" ht="14.4"/>
    <row r="17" spans="2:6" ht="14.4"/>
    <row r="18" spans="2:6" ht="14.4">
      <c r="B18" s="97" t="s">
        <v>293</v>
      </c>
      <c r="C18" s="98" t="s">
        <v>294</v>
      </c>
      <c r="D18" s="99" t="s">
        <v>295</v>
      </c>
      <c r="F18" s="69" t="s">
        <v>82</v>
      </c>
    </row>
    <row r="19" spans="2:6" ht="14.4">
      <c r="B19" s="100" t="s">
        <v>283</v>
      </c>
      <c r="C19" s="103">
        <v>41030</v>
      </c>
      <c r="D19" s="106">
        <f ca="1">TODAY()-C19</f>
        <v>1863</v>
      </c>
      <c r="F19" s="10" t="s">
        <v>296</v>
      </c>
    </row>
    <row r="20" spans="2:6" ht="14.4">
      <c r="B20" s="101" t="s">
        <v>284</v>
      </c>
      <c r="C20" s="104">
        <v>41036</v>
      </c>
      <c r="D20" s="107">
        <f t="shared" ref="D20:D28" ca="1" si="0">TODAY()-C20</f>
        <v>1857</v>
      </c>
      <c r="F20" s="10" t="s">
        <v>297</v>
      </c>
    </row>
    <row r="21" spans="2:6" ht="14.4">
      <c r="B21" s="101" t="s">
        <v>285</v>
      </c>
      <c r="C21" s="104">
        <v>41036</v>
      </c>
      <c r="D21" s="107">
        <f t="shared" ca="1" si="0"/>
        <v>1857</v>
      </c>
      <c r="F21" s="10" t="s">
        <v>298</v>
      </c>
    </row>
    <row r="22" spans="2:6" ht="14.4">
      <c r="B22" s="101" t="s">
        <v>286</v>
      </c>
      <c r="C22" s="104">
        <v>41044</v>
      </c>
      <c r="D22" s="107">
        <f t="shared" ca="1" si="0"/>
        <v>1849</v>
      </c>
      <c r="F22" s="10" t="s">
        <v>299</v>
      </c>
    </row>
    <row r="23" spans="2:6" ht="14.4">
      <c r="B23" s="101" t="s">
        <v>287</v>
      </c>
      <c r="C23" s="104">
        <v>41044</v>
      </c>
      <c r="D23" s="107">
        <f t="shared" ca="1" si="0"/>
        <v>1849</v>
      </c>
      <c r="F23" s="10" t="s">
        <v>300</v>
      </c>
    </row>
    <row r="24" spans="2:6" ht="14.4">
      <c r="B24" s="101" t="s">
        <v>288</v>
      </c>
      <c r="C24" s="104">
        <v>41043</v>
      </c>
      <c r="D24" s="107">
        <f t="shared" ca="1" si="0"/>
        <v>1850</v>
      </c>
      <c r="F24" s="10" t="s">
        <v>301</v>
      </c>
    </row>
    <row r="25" spans="2:6" ht="14.4">
      <c r="B25" s="101" t="s">
        <v>289</v>
      </c>
      <c r="C25" s="104">
        <v>41043</v>
      </c>
      <c r="D25" s="107">
        <f t="shared" ca="1" si="0"/>
        <v>1850</v>
      </c>
      <c r="F25" s="10" t="s">
        <v>302</v>
      </c>
    </row>
    <row r="26" spans="2:6" ht="14.4">
      <c r="B26" s="101" t="s">
        <v>290</v>
      </c>
      <c r="C26" s="104">
        <v>41040</v>
      </c>
      <c r="D26" s="107">
        <f t="shared" ca="1" si="0"/>
        <v>1853</v>
      </c>
      <c r="F26" s="10" t="s">
        <v>303</v>
      </c>
    </row>
    <row r="27" spans="2:6" ht="14.4">
      <c r="B27" s="101" t="s">
        <v>291</v>
      </c>
      <c r="C27" s="104">
        <v>41041</v>
      </c>
      <c r="D27" s="107">
        <f t="shared" ca="1" si="0"/>
        <v>1852</v>
      </c>
      <c r="F27" s="10" t="s">
        <v>304</v>
      </c>
    </row>
    <row r="28" spans="2:6" ht="14.4">
      <c r="B28" s="102" t="s">
        <v>292</v>
      </c>
      <c r="C28" s="105">
        <v>41040</v>
      </c>
      <c r="D28" s="108">
        <f t="shared" ca="1" si="0"/>
        <v>1853</v>
      </c>
      <c r="F28" s="10" t="s">
        <v>305</v>
      </c>
    </row>
    <row r="29" spans="2:6" ht="14.4">
      <c r="C29" s="72"/>
    </row>
    <row r="30" spans="2:6" ht="14.4"/>
    <row r="31" spans="2:6" ht="14.4"/>
    <row r="32" spans="2:6" ht="14.4"/>
    <row r="33" ht="14.4"/>
    <row r="34" ht="14.4"/>
    <row r="35" ht="14.4"/>
    <row r="36" ht="14.4"/>
    <row r="37" ht="14.4" hidden="1"/>
    <row r="38" ht="14.4" hidden="1"/>
    <row r="39" ht="14.4" hidden="1"/>
    <row r="40" ht="14.4" hidden="1"/>
    <row r="41" ht="14.4" hidden="1"/>
    <row r="42" ht="14.4" hidden="1"/>
    <row r="43" ht="14.4" hidden="1"/>
    <row r="44" ht="14.4" hidden="1"/>
    <row r="45" ht="14.4" hidden="1"/>
    <row r="46" ht="14.4" hidden="1"/>
    <row r="47" ht="14.4" hidden="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sheetData>
  <mergeCells count="1">
    <mergeCell ref="B9:L12"/>
  </mergeCells>
  <pageMargins left="0.511811024" right="0.511811024" top="0.78740157499999996" bottom="0.78740157499999996" header="0.31496062000000002" footer="0.31496062000000002"/>
  <drawing r:id="rId1"/>
</worksheet>
</file>

<file path=xl/worksheets/sheet21.xml><?xml version="1.0" encoding="utf-8"?>
<worksheet xmlns="http://schemas.openxmlformats.org/spreadsheetml/2006/main" xmlns:r="http://schemas.openxmlformats.org/officeDocument/2006/relationships">
  <dimension ref="B1:P129"/>
  <sheetViews>
    <sheetView showGridLines="0" showRowColHeaders="0" workbookViewId="0">
      <selection activeCell="K7" sqref="K7"/>
    </sheetView>
  </sheetViews>
  <sheetFormatPr defaultRowHeight="15" customHeight="1" zeroHeight="1"/>
  <cols>
    <col min="1" max="1" width="3.6640625" customWidth="1"/>
    <col min="2" max="2" width="19.109375" bestFit="1" customWidth="1"/>
    <col min="3" max="3" width="13" customWidth="1"/>
    <col min="4" max="4" width="12" bestFit="1" customWidth="1"/>
    <col min="6" max="6" width="14.109375" bestFit="1" customWidth="1"/>
    <col min="8" max="8" width="12.6640625" customWidth="1"/>
    <col min="9" max="9" width="12.44140625" bestFit="1" customWidth="1"/>
    <col min="10" max="10" width="14.33203125" customWidth="1"/>
    <col min="11" max="11" width="18.109375" bestFit="1" customWidth="1"/>
  </cols>
  <sheetData>
    <row r="1" spans="2:16" ht="14.4"/>
    <row r="2" spans="2:16" ht="14.4"/>
    <row r="3" spans="2:16" ht="14.4"/>
    <row r="4" spans="2:16" ht="14.4"/>
    <row r="5" spans="2:16" ht="14.4"/>
    <row r="6" spans="2:16" ht="14.4"/>
    <row r="7" spans="2:16" ht="23.4">
      <c r="B7" s="6" t="s">
        <v>307</v>
      </c>
    </row>
    <row r="8" spans="2:16" ht="14.4"/>
    <row r="9" spans="2:16" ht="14.4">
      <c r="B9" s="127" t="s">
        <v>308</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C14" s="68"/>
      <c r="D14" s="68"/>
      <c r="E14" s="68"/>
      <c r="F14" s="68"/>
      <c r="G14" s="68"/>
      <c r="H14" s="68"/>
      <c r="I14" s="68"/>
      <c r="J14" s="68"/>
      <c r="K14" s="68"/>
      <c r="L14" s="68"/>
      <c r="M14" s="68"/>
      <c r="N14" s="68"/>
      <c r="O14" s="68"/>
    </row>
    <row r="15" spans="2:16" ht="23.4">
      <c r="B15" s="7" t="s">
        <v>69</v>
      </c>
    </row>
    <row r="16" spans="2:16" ht="14.4"/>
    <row r="17" ht="14.4" hidden="1"/>
    <row r="18" ht="14.4" hidden="1"/>
    <row r="19" ht="14.4" hidden="1"/>
    <row r="20" ht="14.4" hidden="1"/>
    <row r="21" ht="14.4" hidden="1"/>
    <row r="22" ht="14.4" hidden="1"/>
    <row r="23" ht="14.4" hidden="1"/>
    <row r="24" ht="14.4" hidden="1"/>
    <row r="25" ht="14.4" hidden="1"/>
    <row r="26" ht="14.4" hidden="1"/>
    <row r="27" ht="14.4" hidden="1"/>
    <row r="28" ht="15" hidden="1" customHeight="1"/>
    <row r="29" ht="15" hidden="1" customHeight="1"/>
    <row r="30" ht="15" hidden="1" customHeight="1"/>
    <row r="31" ht="15" hidden="1" customHeight="1"/>
    <row r="32" ht="15" hidden="1" customHeight="1"/>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46" ht="15" hidden="1" customHeight="1"/>
    <row r="47" ht="15" hidden="1" customHeight="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spans="2:12" ht="15" hidden="1" customHeight="1"/>
    <row r="82" spans="2:12" ht="15" hidden="1" customHeight="1"/>
    <row r="83" spans="2:12" ht="15" hidden="1" customHeight="1"/>
    <row r="84" spans="2:12" ht="15" customHeight="1">
      <c r="B84" s="127" t="s">
        <v>309</v>
      </c>
      <c r="C84" s="127"/>
      <c r="D84" s="127"/>
      <c r="E84" s="127"/>
      <c r="F84" s="127"/>
      <c r="G84" s="127"/>
      <c r="H84" s="127"/>
      <c r="I84" s="127"/>
      <c r="J84" s="127"/>
      <c r="K84" s="127"/>
      <c r="L84" s="127"/>
    </row>
    <row r="85" spans="2:12" ht="15" customHeight="1">
      <c r="B85" s="127"/>
      <c r="C85" s="127"/>
      <c r="D85" s="127"/>
      <c r="E85" s="127"/>
      <c r="F85" s="127"/>
      <c r="G85" s="127"/>
      <c r="H85" s="127"/>
      <c r="I85" s="127"/>
      <c r="J85" s="127"/>
      <c r="K85" s="127"/>
      <c r="L85" s="127"/>
    </row>
    <row r="86" spans="2:12" ht="15" customHeight="1">
      <c r="B86" s="127"/>
      <c r="C86" s="127"/>
      <c r="D86" s="127"/>
      <c r="E86" s="127"/>
      <c r="F86" s="127"/>
      <c r="G86" s="127"/>
      <c r="H86" s="127"/>
      <c r="I86" s="127"/>
      <c r="J86" s="127"/>
      <c r="K86" s="127"/>
      <c r="L86" s="127"/>
    </row>
    <row r="87" spans="2:12" ht="15" customHeight="1">
      <c r="B87" s="127"/>
      <c r="C87" s="127"/>
      <c r="D87" s="127"/>
      <c r="E87" s="127"/>
      <c r="F87" s="127"/>
      <c r="G87" s="127"/>
      <c r="H87" s="127"/>
      <c r="I87" s="127"/>
      <c r="J87" s="127"/>
      <c r="K87" s="127"/>
      <c r="L87" s="127"/>
    </row>
    <row r="88" spans="2:12" ht="15" customHeight="1"/>
    <row r="89" spans="2:12" ht="23.4">
      <c r="B89" s="7" t="s">
        <v>72</v>
      </c>
    </row>
    <row r="90" spans="2:12" ht="15" customHeight="1"/>
    <row r="91" spans="2:12" ht="15" customHeight="1"/>
    <row r="92" spans="2:12" ht="15" customHeight="1"/>
    <row r="93" spans="2:12" ht="15" customHeight="1"/>
    <row r="94" spans="2:12" ht="15" customHeight="1"/>
    <row r="95" spans="2:12" ht="15" customHeight="1">
      <c r="B95" s="1" t="s">
        <v>310</v>
      </c>
    </row>
    <row r="96" spans="2:12" ht="15" customHeight="1"/>
    <row r="97" spans="2:5" ht="15" customHeight="1">
      <c r="B97" s="1" t="s">
        <v>311</v>
      </c>
    </row>
    <row r="98" spans="2:5" ht="15" customHeight="1"/>
    <row r="99" spans="2:5" ht="15" customHeight="1"/>
    <row r="100" spans="2:5" ht="15" customHeight="1"/>
    <row r="101" spans="2:5" ht="15" customHeight="1"/>
    <row r="102" spans="2:5" ht="15" customHeight="1"/>
    <row r="103" spans="2:5" ht="15" customHeight="1"/>
    <row r="104" spans="2:5" ht="15" customHeight="1"/>
    <row r="105" spans="2:5" ht="15" customHeight="1">
      <c r="B105" s="1" t="s">
        <v>312</v>
      </c>
    </row>
    <row r="106" spans="2:5" ht="15" customHeight="1"/>
    <row r="107" spans="2:5" ht="15" customHeight="1"/>
    <row r="108" spans="2:5" ht="15" customHeight="1">
      <c r="B108" s="159" t="s">
        <v>313</v>
      </c>
      <c r="C108" s="160"/>
      <c r="D108" s="160"/>
      <c r="E108" s="161"/>
    </row>
    <row r="109" spans="2:5" ht="15" customHeight="1">
      <c r="B109" s="162"/>
      <c r="C109" s="163"/>
      <c r="D109" s="163"/>
      <c r="E109" s="164"/>
    </row>
    <row r="110" spans="2:5" ht="15" customHeight="1"/>
    <row r="111" spans="2:5" ht="15" customHeight="1">
      <c r="B111" s="165" t="s">
        <v>315</v>
      </c>
      <c r="C111" s="166"/>
      <c r="D111" s="166"/>
      <c r="E111" s="167"/>
    </row>
    <row r="112" spans="2:5" ht="15" customHeight="1">
      <c r="B112" s="168"/>
      <c r="C112" s="169"/>
      <c r="D112" s="169"/>
      <c r="E112" s="170"/>
    </row>
    <row r="113" spans="2:5" ht="15" customHeight="1"/>
    <row r="114" spans="2:5" ht="15" customHeight="1">
      <c r="B114" s="159" t="s">
        <v>314</v>
      </c>
      <c r="C114" s="160"/>
      <c r="D114" s="160"/>
      <c r="E114" s="161"/>
    </row>
    <row r="115" spans="2:5" ht="15" customHeight="1">
      <c r="B115" s="162"/>
      <c r="C115" s="163"/>
      <c r="D115" s="163"/>
      <c r="E115" s="164"/>
    </row>
    <row r="116" spans="2:5" ht="15" customHeight="1"/>
    <row r="117" spans="2:5" ht="15" customHeight="1">
      <c r="B117" s="1" t="s">
        <v>316</v>
      </c>
    </row>
    <row r="118" spans="2:5" ht="15" customHeight="1"/>
    <row r="119" spans="2:5" ht="15" customHeight="1"/>
    <row r="120" spans="2:5" ht="15" customHeight="1"/>
    <row r="121" spans="2:5" ht="15" customHeight="1"/>
    <row r="122" spans="2:5" ht="15" customHeight="1"/>
    <row r="123" spans="2:5" ht="15" customHeight="1"/>
    <row r="124" spans="2:5" ht="15" customHeight="1"/>
    <row r="125" spans="2:5" ht="15" customHeight="1"/>
    <row r="126" spans="2:5" ht="15" customHeight="1"/>
    <row r="127" spans="2:5" ht="15" customHeight="1"/>
    <row r="128" spans="2:5" ht="15" customHeight="1"/>
    <row r="129" ht="15" customHeight="1"/>
  </sheetData>
  <mergeCells count="5">
    <mergeCell ref="B9:L12"/>
    <mergeCell ref="B84:L87"/>
    <mergeCell ref="B108:E109"/>
    <mergeCell ref="B114:E115"/>
    <mergeCell ref="B111:E112"/>
  </mergeCells>
  <pageMargins left="0.511811024" right="0.511811024" top="0.78740157499999996" bottom="0.78740157499999996" header="0.31496062000000002" footer="0.31496062000000002"/>
  <drawing r:id="rId1"/>
</worksheet>
</file>

<file path=xl/worksheets/sheet22.xml><?xml version="1.0" encoding="utf-8"?>
<worksheet xmlns="http://schemas.openxmlformats.org/spreadsheetml/2006/main" xmlns:r="http://schemas.openxmlformats.org/officeDocument/2006/relationships">
  <dimension ref="B1:P106"/>
  <sheetViews>
    <sheetView showGridLines="0" showRowColHeaders="0" topLeftCell="F1" workbookViewId="0"/>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2" customWidth="1"/>
  </cols>
  <sheetData>
    <row r="1" spans="2:16" ht="14.4"/>
    <row r="2" spans="2:16" ht="14.4"/>
    <row r="3" spans="2:16" ht="14.4"/>
    <row r="4" spans="2:16" ht="14.4"/>
    <row r="5" spans="2:16" ht="14.4"/>
    <row r="6" spans="2:16" ht="14.4"/>
    <row r="7" spans="2:16" ht="23.4">
      <c r="B7" s="6" t="s">
        <v>317</v>
      </c>
    </row>
    <row r="8" spans="2:16" ht="14.4"/>
    <row r="9" spans="2:16" ht="14.4">
      <c r="B9" s="127" t="s">
        <v>321</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23.4">
      <c r="B14" s="7" t="s">
        <v>69</v>
      </c>
      <c r="C14" s="29"/>
    </row>
    <row r="15" spans="2:16" ht="14.4">
      <c r="B15" s="4"/>
      <c r="C15" s="29"/>
    </row>
    <row r="16" spans="2:16" ht="21">
      <c r="B16" s="29" t="s">
        <v>348</v>
      </c>
      <c r="C16" s="29"/>
    </row>
    <row r="17" spans="2:15" ht="14.4">
      <c r="B17" s="4"/>
      <c r="C17" s="29"/>
    </row>
    <row r="18" spans="2:15" ht="14.4">
      <c r="C18" s="68"/>
      <c r="D18" s="68"/>
      <c r="E18" s="68"/>
      <c r="F18" s="68"/>
      <c r="G18" s="68"/>
      <c r="H18" s="68"/>
      <c r="I18" s="68"/>
      <c r="J18" s="68"/>
      <c r="K18" s="68"/>
      <c r="L18" s="68"/>
      <c r="M18" s="68"/>
      <c r="N18" s="68"/>
      <c r="O18" s="68"/>
    </row>
    <row r="19" spans="2:15" ht="23.4">
      <c r="B19" s="7" t="s">
        <v>72</v>
      </c>
    </row>
    <row r="20" spans="2:15" ht="14.4"/>
    <row r="21" spans="2:15" ht="14.4">
      <c r="I21" s="76"/>
      <c r="L21" s="1" t="s">
        <v>82</v>
      </c>
    </row>
    <row r="22" spans="2:15" ht="14.4">
      <c r="H22" s="1" t="s">
        <v>318</v>
      </c>
    </row>
    <row r="23" spans="2:15" ht="14.4">
      <c r="L23" s="10" t="s">
        <v>319</v>
      </c>
    </row>
    <row r="24" spans="2:15" ht="14.4">
      <c r="B24" s="15" t="s">
        <v>8</v>
      </c>
      <c r="C24" s="15" t="s">
        <v>9</v>
      </c>
      <c r="D24" s="15" t="s">
        <v>10</v>
      </c>
      <c r="E24" s="15" t="s">
        <v>11</v>
      </c>
      <c r="F24" s="15" t="s">
        <v>66</v>
      </c>
      <c r="H24" s="89">
        <f>COUNT(F25:F33)</f>
        <v>9</v>
      </c>
      <c r="L24" s="79"/>
    </row>
    <row r="25" spans="2:15" ht="14.4">
      <c r="B25" s="16" t="s">
        <v>20</v>
      </c>
      <c r="C25" s="16" t="s">
        <v>21</v>
      </c>
      <c r="D25" s="16">
        <v>6952214933</v>
      </c>
      <c r="E25" s="16" t="s">
        <v>22</v>
      </c>
      <c r="F25" s="14">
        <v>100</v>
      </c>
    </row>
    <row r="26" spans="2:15" ht="14.4">
      <c r="B26" s="16" t="s">
        <v>20</v>
      </c>
      <c r="C26" s="16" t="s">
        <v>27</v>
      </c>
      <c r="D26" s="16">
        <v>11290307768</v>
      </c>
      <c r="E26" s="16" t="s">
        <v>28</v>
      </c>
      <c r="F26" s="14">
        <v>89</v>
      </c>
      <c r="H26" s="1"/>
    </row>
    <row r="27" spans="2:15" ht="14.4">
      <c r="B27" s="16" t="s">
        <v>20</v>
      </c>
      <c r="C27" s="16" t="s">
        <v>30</v>
      </c>
      <c r="D27" s="16">
        <v>34697625897</v>
      </c>
      <c r="E27" s="16" t="s">
        <v>31</v>
      </c>
      <c r="F27" s="14">
        <v>99</v>
      </c>
      <c r="J27" s="1" t="s">
        <v>320</v>
      </c>
    </row>
    <row r="28" spans="2:15" ht="14.4">
      <c r="B28" s="16" t="s">
        <v>20</v>
      </c>
      <c r="C28" s="16" t="s">
        <v>33</v>
      </c>
      <c r="D28" s="16">
        <v>26669129300</v>
      </c>
      <c r="E28" s="16" t="s">
        <v>34</v>
      </c>
      <c r="F28" s="14">
        <v>100</v>
      </c>
      <c r="H28" s="73"/>
      <c r="L28" s="79"/>
    </row>
    <row r="29" spans="2:15" ht="14.4">
      <c r="B29" s="16" t="s">
        <v>20</v>
      </c>
      <c r="C29" s="16" t="s">
        <v>36</v>
      </c>
      <c r="D29" s="16">
        <v>21892938804</v>
      </c>
      <c r="E29" s="16" t="s">
        <v>37</v>
      </c>
      <c r="F29" s="14">
        <v>0</v>
      </c>
    </row>
    <row r="30" spans="2:15" ht="14.4">
      <c r="B30" s="16" t="s">
        <v>20</v>
      </c>
      <c r="C30" s="16" t="s">
        <v>39</v>
      </c>
      <c r="D30" s="16">
        <v>69906505168</v>
      </c>
      <c r="E30" s="16" t="s">
        <v>40</v>
      </c>
      <c r="F30" s="14">
        <v>87</v>
      </c>
    </row>
    <row r="31" spans="2:15" ht="14.4">
      <c r="B31" s="16" t="s">
        <v>20</v>
      </c>
      <c r="C31" s="16" t="s">
        <v>41</v>
      </c>
      <c r="D31" s="16">
        <v>91139066153</v>
      </c>
      <c r="E31" s="16" t="s">
        <v>42</v>
      </c>
      <c r="F31" s="14">
        <v>88</v>
      </c>
      <c r="L31" s="80"/>
      <c r="M31" s="80"/>
    </row>
    <row r="32" spans="2:15" ht="14.4">
      <c r="B32" s="16" t="s">
        <v>20</v>
      </c>
      <c r="C32" s="16" t="s">
        <v>43</v>
      </c>
      <c r="D32" s="16">
        <v>12654094472</v>
      </c>
      <c r="E32" s="16" t="s">
        <v>44</v>
      </c>
      <c r="F32" s="14">
        <v>85</v>
      </c>
    </row>
    <row r="33" spans="2:6" ht="14.4">
      <c r="B33" s="16" t="s">
        <v>20</v>
      </c>
      <c r="C33" s="16" t="s">
        <v>45</v>
      </c>
      <c r="D33" s="16">
        <v>4172832610</v>
      </c>
      <c r="E33" s="16" t="s">
        <v>46</v>
      </c>
      <c r="F33" s="14">
        <v>70</v>
      </c>
    </row>
    <row r="34" spans="2:6" ht="14.4"/>
    <row r="35" spans="2:6" ht="14.4"/>
    <row r="36" spans="2:6" ht="14.4"/>
    <row r="37" spans="2:6" ht="14.4"/>
    <row r="38" spans="2:6" ht="14.4"/>
    <row r="39" spans="2:6" ht="14.4">
      <c r="D39" s="81"/>
    </row>
    <row r="40" spans="2:6" ht="14.4" hidden="1"/>
    <row r="41" spans="2:6" ht="14.4" hidden="1"/>
    <row r="42" spans="2:6" ht="14.4" hidden="1"/>
    <row r="43" spans="2:6" ht="14.4" hidden="1"/>
    <row r="44" spans="2:6" ht="14.4" hidden="1"/>
    <row r="45" spans="2:6" ht="14.4" hidden="1"/>
    <row r="46" spans="2:6" ht="14.4" hidden="1"/>
    <row r="47" spans="2:6" ht="14.4" hidden="1"/>
    <row r="48" spans="2:6" ht="14.4" hidden="1"/>
    <row r="49" ht="14.4" hidden="1"/>
    <row r="50" ht="14.4" hidden="1"/>
    <row r="51" ht="14.4" hidden="1"/>
    <row r="52" ht="14.4" hidden="1"/>
    <row r="53" ht="14.4" hidden="1"/>
    <row r="54" ht="14.4" hidden="1"/>
    <row r="55" ht="14.4" hidden="1"/>
    <row r="56" ht="14.4" hidden="1"/>
    <row r="57" ht="14.4" hidden="1"/>
    <row r="58" ht="14.4" hidden="1"/>
    <row r="59" ht="14.4" hidden="1"/>
    <row r="60" ht="14.4" hidden="1"/>
    <row r="61" ht="14.4" hidden="1"/>
    <row r="62" ht="14.4" hidden="1"/>
    <row r="63" ht="14.4" hidden="1"/>
    <row r="64" ht="14.4" hidden="1"/>
    <row r="65" ht="14.4" hidden="1"/>
    <row r="66" ht="14.4" hidden="1"/>
    <row r="67" ht="14.4" hidden="1"/>
    <row r="68" ht="14.4" hidden="1"/>
    <row r="69" ht="14.4" hidden="1"/>
    <row r="70" ht="14.4" hidden="1"/>
    <row r="71" ht="14.4" hidden="1"/>
    <row r="72" ht="14.4" hidden="1"/>
    <row r="73" ht="14.4" hidden="1"/>
    <row r="74" ht="14.4" hidden="1"/>
    <row r="75" ht="14.4" hidden="1"/>
    <row r="76" ht="14.4" hidden="1"/>
    <row r="77" ht="14.4" hidden="1"/>
    <row r="78" ht="14.4" hidden="1"/>
    <row r="79" ht="14.4" hidden="1"/>
    <row r="80" ht="14.4" hidden="1"/>
    <row r="81" ht="14.4" hidden="1"/>
    <row r="82" ht="14.4" hidden="1"/>
    <row r="83" ht="14.4" hidden="1"/>
    <row r="84" ht="14.4" hidden="1"/>
    <row r="85" ht="14.4" hidden="1"/>
    <row r="86" ht="14.4" hidden="1"/>
    <row r="87" ht="14.4" hidden="1"/>
    <row r="88" ht="14.4" hidden="1"/>
    <row r="89" ht="14.4" hidden="1"/>
    <row r="90" ht="14.4" hidden="1"/>
    <row r="91" ht="14.4" hidden="1"/>
    <row r="92" ht="14.4" hidden="1"/>
    <row r="93" ht="14.4" hidden="1"/>
    <row r="94" ht="14.4" hidden="1"/>
    <row r="95" ht="14.4" hidden="1"/>
    <row r="96" ht="14.4" hidden="1"/>
    <row r="97" ht="14.4" hidden="1"/>
    <row r="98" ht="14.4" hidden="1"/>
    <row r="99" ht="14.4" hidden="1"/>
    <row r="100" ht="14.4" hidden="1"/>
    <row r="101" ht="14.4" hidden="1"/>
    <row r="102" ht="14.4" hidden="1"/>
    <row r="103" ht="15" hidden="1" customHeight="1"/>
    <row r="104" ht="15" hidden="1" customHeight="1"/>
    <row r="105" ht="15" hidden="1" customHeight="1"/>
    <row r="106" ht="15" hidden="1" customHeight="1"/>
  </sheetData>
  <mergeCells count="1">
    <mergeCell ref="B9:L12"/>
  </mergeCells>
  <pageMargins left="0.511811024" right="0.511811024" top="0.78740157499999996" bottom="0.78740157499999996" header="0.31496062000000002" footer="0.31496062000000002"/>
  <pageSetup paperSize="9" orientation="portrait" horizontalDpi="4294967295" verticalDpi="4294967295" r:id="rId1"/>
  <drawing r:id="rId2"/>
</worksheet>
</file>

<file path=xl/worksheets/sheet23.xml><?xml version="1.0" encoding="utf-8"?>
<worksheet xmlns="http://schemas.openxmlformats.org/spreadsheetml/2006/main" xmlns:r="http://schemas.openxmlformats.org/officeDocument/2006/relationships">
  <dimension ref="B1:P88"/>
  <sheetViews>
    <sheetView showGridLines="0" showRowColHeaders="0" topLeftCell="F1" workbookViewId="0"/>
  </sheetViews>
  <sheetFormatPr defaultRowHeight="15" customHeight="1" zeroHeight="1"/>
  <cols>
    <col min="1" max="1" width="3.6640625" customWidth="1"/>
    <col min="3" max="3" width="13.33203125" bestFit="1" customWidth="1"/>
    <col min="4" max="4" width="12" bestFit="1" customWidth="1"/>
    <col min="8" max="8" width="12.6640625" customWidth="1"/>
    <col min="9" max="9" width="12.44140625" bestFit="1" customWidth="1"/>
    <col min="10" max="10" width="14.33203125" customWidth="1"/>
    <col min="11" max="11" width="12" customWidth="1"/>
  </cols>
  <sheetData>
    <row r="1" spans="2:16" ht="15" customHeight="1"/>
    <row r="2" spans="2:16" ht="15" customHeight="1"/>
    <row r="3" spans="2:16" ht="15" customHeight="1"/>
    <row r="4" spans="2:16" ht="15" customHeight="1"/>
    <row r="5" spans="2:16" ht="15" customHeight="1"/>
    <row r="6" spans="2:16" ht="15" customHeight="1"/>
    <row r="7" spans="2:16" ht="23.4">
      <c r="B7" s="6" t="s">
        <v>322</v>
      </c>
    </row>
    <row r="8" spans="2:16" ht="15" customHeight="1"/>
    <row r="9" spans="2:16" ht="14.4">
      <c r="B9" s="127" t="s">
        <v>323</v>
      </c>
      <c r="C9" s="127"/>
      <c r="D9" s="127"/>
      <c r="E9" s="127"/>
      <c r="F9" s="127"/>
      <c r="G9" s="127"/>
      <c r="H9" s="127"/>
      <c r="I9" s="127"/>
      <c r="J9" s="127"/>
      <c r="K9" s="127"/>
      <c r="L9" s="127"/>
      <c r="M9" s="59"/>
      <c r="N9" s="59"/>
      <c r="O9" s="59"/>
      <c r="P9" s="59"/>
    </row>
    <row r="10" spans="2:16" ht="14.4">
      <c r="B10" s="127"/>
      <c r="C10" s="127"/>
      <c r="D10" s="127"/>
      <c r="E10" s="127"/>
      <c r="F10" s="127"/>
      <c r="G10" s="127"/>
      <c r="H10" s="127"/>
      <c r="I10" s="127"/>
      <c r="J10" s="127"/>
      <c r="K10" s="127"/>
      <c r="L10" s="127"/>
      <c r="M10" s="59"/>
      <c r="N10" s="59"/>
      <c r="O10" s="59"/>
      <c r="P10" s="59"/>
    </row>
    <row r="11" spans="2:16" ht="14.4">
      <c r="B11" s="127"/>
      <c r="C11" s="127"/>
      <c r="D11" s="127"/>
      <c r="E11" s="127"/>
      <c r="F11" s="127"/>
      <c r="G11" s="127"/>
      <c r="H11" s="127"/>
      <c r="I11" s="127"/>
      <c r="J11" s="127"/>
      <c r="K11" s="127"/>
      <c r="L11" s="127"/>
      <c r="M11" s="59"/>
      <c r="N11" s="59"/>
      <c r="O11" s="59"/>
      <c r="P11" s="59"/>
    </row>
    <row r="12" spans="2:16" ht="14.4">
      <c r="B12" s="127"/>
      <c r="C12" s="127"/>
      <c r="D12" s="127"/>
      <c r="E12" s="127"/>
      <c r="F12" s="127"/>
      <c r="G12" s="127"/>
      <c r="H12" s="127"/>
      <c r="I12" s="127"/>
      <c r="J12" s="127"/>
      <c r="K12" s="127"/>
      <c r="L12" s="127"/>
      <c r="M12" s="59"/>
      <c r="N12" s="59"/>
      <c r="O12" s="59"/>
      <c r="P12" s="59"/>
    </row>
    <row r="13" spans="2:16" ht="14.4">
      <c r="B13" s="4"/>
      <c r="C13" s="29"/>
    </row>
    <row r="14" spans="2:16" ht="14.4">
      <c r="C14" s="68"/>
      <c r="D14" s="68"/>
      <c r="E14" s="68"/>
      <c r="F14" s="68"/>
      <c r="G14" s="68"/>
      <c r="H14" s="68"/>
      <c r="I14" s="68"/>
      <c r="J14" s="68"/>
      <c r="K14" s="68"/>
      <c r="L14" s="68"/>
      <c r="M14" s="68"/>
      <c r="N14" s="68"/>
      <c r="O14" s="68"/>
    </row>
    <row r="15" spans="2:16" ht="23.4">
      <c r="B15" s="7" t="s">
        <v>72</v>
      </c>
    </row>
    <row r="16" spans="2:16" ht="15" customHeight="1"/>
    <row r="17" spans="2:13" ht="14.4">
      <c r="I17" s="76"/>
      <c r="L17" s="1"/>
    </row>
    <row r="18" spans="2:13" ht="14.4">
      <c r="B18" s="1" t="s">
        <v>333</v>
      </c>
      <c r="H18" s="1"/>
    </row>
    <row r="19" spans="2:13" ht="14.4">
      <c r="L19" s="10"/>
    </row>
    <row r="20" spans="2:13" ht="14.4">
      <c r="B20" s="112" t="s">
        <v>74</v>
      </c>
      <c r="C20" s="112" t="s">
        <v>332</v>
      </c>
      <c r="D20" s="112" t="s">
        <v>0</v>
      </c>
      <c r="E20" s="110"/>
      <c r="F20" s="110"/>
      <c r="H20" s="51"/>
      <c r="L20" s="79"/>
    </row>
    <row r="21" spans="2:13" ht="14.4">
      <c r="B21" s="116" t="s">
        <v>324</v>
      </c>
      <c r="C21" s="117">
        <v>1000</v>
      </c>
      <c r="D21" s="118">
        <f>C21/$C$30</f>
        <v>6.9735006973500699E-2</v>
      </c>
      <c r="E21" s="31"/>
      <c r="F21" s="111"/>
    </row>
    <row r="22" spans="2:13" ht="14.4">
      <c r="B22" s="116" t="s">
        <v>325</v>
      </c>
      <c r="C22" s="117">
        <v>1220</v>
      </c>
      <c r="D22" s="118">
        <f t="shared" ref="D22:D29" si="0">C22/$C$30</f>
        <v>8.5076708507670851E-2</v>
      </c>
      <c r="E22" s="31"/>
      <c r="F22" s="111"/>
      <c r="H22" s="1"/>
    </row>
    <row r="23" spans="2:13" ht="14.4">
      <c r="B23" s="116" t="s">
        <v>326</v>
      </c>
      <c r="C23" s="117">
        <v>1530</v>
      </c>
      <c r="D23" s="118">
        <f t="shared" si="0"/>
        <v>0.10669456066945607</v>
      </c>
      <c r="E23" s="31"/>
      <c r="F23" s="111"/>
      <c r="J23" s="1"/>
    </row>
    <row r="24" spans="2:13" ht="14.4">
      <c r="B24" s="116" t="s">
        <v>327</v>
      </c>
      <c r="C24" s="117">
        <v>1440</v>
      </c>
      <c r="D24" s="118">
        <f t="shared" si="0"/>
        <v>0.100418410041841</v>
      </c>
      <c r="E24" s="31"/>
      <c r="F24" s="111"/>
      <c r="H24" s="73"/>
      <c r="L24" s="79"/>
    </row>
    <row r="25" spans="2:13" ht="14.4">
      <c r="B25" s="116" t="s">
        <v>328</v>
      </c>
      <c r="C25" s="117">
        <v>1300</v>
      </c>
      <c r="D25" s="118">
        <f t="shared" si="0"/>
        <v>9.0655509065550907E-2</v>
      </c>
      <c r="E25" s="31"/>
      <c r="F25" s="111"/>
    </row>
    <row r="26" spans="2:13" ht="14.4">
      <c r="B26" s="116" t="s">
        <v>329</v>
      </c>
      <c r="C26" s="117">
        <v>2000</v>
      </c>
      <c r="D26" s="118">
        <f t="shared" si="0"/>
        <v>0.1394700139470014</v>
      </c>
      <c r="E26" s="31"/>
      <c r="F26" s="111"/>
    </row>
    <row r="27" spans="2:13" ht="14.4">
      <c r="B27" s="116" t="s">
        <v>329</v>
      </c>
      <c r="C27" s="117">
        <v>2100</v>
      </c>
      <c r="D27" s="118">
        <f t="shared" si="0"/>
        <v>0.14644351464435146</v>
      </c>
      <c r="E27" s="31"/>
      <c r="F27" s="111"/>
      <c r="L27" s="80"/>
      <c r="M27" s="80"/>
    </row>
    <row r="28" spans="2:13" ht="14.4">
      <c r="B28" s="116" t="s">
        <v>330</v>
      </c>
      <c r="C28" s="117">
        <v>1900</v>
      </c>
      <c r="D28" s="118">
        <f t="shared" si="0"/>
        <v>0.13249651324965134</v>
      </c>
      <c r="E28" s="31"/>
      <c r="F28" s="111"/>
    </row>
    <row r="29" spans="2:13" ht="14.4">
      <c r="B29" s="116" t="s">
        <v>331</v>
      </c>
      <c r="C29" s="117">
        <v>1850</v>
      </c>
      <c r="D29" s="118">
        <f t="shared" si="0"/>
        <v>0.12900976290097629</v>
      </c>
      <c r="E29" s="31"/>
      <c r="F29" s="111"/>
    </row>
    <row r="30" spans="2:13" ht="14.4">
      <c r="B30" s="113" t="s">
        <v>165</v>
      </c>
      <c r="C30" s="114">
        <f>SUM(C21:C29)</f>
        <v>14340</v>
      </c>
      <c r="D30" s="115">
        <f>SUM(D21:D29)</f>
        <v>1</v>
      </c>
    </row>
    <row r="31" spans="2:13" ht="15" customHeight="1"/>
    <row r="32" spans="2:13" ht="15" customHeight="1"/>
    <row r="33" spans="2:11" ht="15" customHeight="1"/>
    <row r="34" spans="2:11" ht="15" customHeight="1"/>
    <row r="35" spans="2:11" ht="14.4">
      <c r="D35" s="81"/>
      <c r="I35" s="121" t="s">
        <v>74</v>
      </c>
      <c r="J35" s="121" t="s">
        <v>332</v>
      </c>
      <c r="K35" s="112" t="s">
        <v>0</v>
      </c>
    </row>
    <row r="36" spans="2:11" ht="14.4">
      <c r="I36" s="119" t="s">
        <v>324</v>
      </c>
      <c r="J36" s="120">
        <v>1000</v>
      </c>
      <c r="K36" s="118">
        <f>J36/$C$30</f>
        <v>6.9735006973500699E-2</v>
      </c>
    </row>
    <row r="37" spans="2:11" ht="14.4">
      <c r="I37" s="119" t="s">
        <v>325</v>
      </c>
      <c r="J37" s="120">
        <v>1220</v>
      </c>
      <c r="K37" s="118">
        <f t="shared" ref="K37:K44" si="1">J37/$C$30</f>
        <v>8.5076708507670851E-2</v>
      </c>
    </row>
    <row r="38" spans="2:11" ht="14.4">
      <c r="I38" s="119" t="s">
        <v>326</v>
      </c>
      <c r="J38" s="120">
        <v>1530</v>
      </c>
      <c r="K38" s="118">
        <f t="shared" si="1"/>
        <v>0.10669456066945607</v>
      </c>
    </row>
    <row r="39" spans="2:11" ht="14.4">
      <c r="B39" s="1" t="s">
        <v>334</v>
      </c>
      <c r="I39" s="119" t="s">
        <v>327</v>
      </c>
      <c r="J39" s="120">
        <v>1440</v>
      </c>
      <c r="K39" s="118">
        <f t="shared" si="1"/>
        <v>0.100418410041841</v>
      </c>
    </row>
    <row r="40" spans="2:11" ht="14.4">
      <c r="I40" s="119" t="s">
        <v>328</v>
      </c>
      <c r="J40" s="120">
        <v>1300</v>
      </c>
      <c r="K40" s="118">
        <f t="shared" si="1"/>
        <v>9.0655509065550907E-2</v>
      </c>
    </row>
    <row r="41" spans="2:11" ht="14.4">
      <c r="I41" s="119" t="s">
        <v>329</v>
      </c>
      <c r="J41" s="120">
        <v>2000</v>
      </c>
      <c r="K41" s="118">
        <f t="shared" si="1"/>
        <v>0.1394700139470014</v>
      </c>
    </row>
    <row r="42" spans="2:11" ht="14.4">
      <c r="I42" s="119" t="s">
        <v>329</v>
      </c>
      <c r="J42" s="120">
        <v>2100</v>
      </c>
      <c r="K42" s="118">
        <f t="shared" si="1"/>
        <v>0.14644351464435146</v>
      </c>
    </row>
    <row r="43" spans="2:11" ht="14.4">
      <c r="I43" s="119" t="s">
        <v>330</v>
      </c>
      <c r="J43" s="120">
        <v>1900</v>
      </c>
      <c r="K43" s="118">
        <f t="shared" si="1"/>
        <v>0.13249651324965134</v>
      </c>
    </row>
    <row r="44" spans="2:11" ht="14.4">
      <c r="I44" s="119" t="s">
        <v>331</v>
      </c>
      <c r="J44" s="120">
        <v>1850</v>
      </c>
      <c r="K44" s="118">
        <f t="shared" si="1"/>
        <v>0.12900976290097629</v>
      </c>
    </row>
    <row r="45" spans="2:11" ht="14.4">
      <c r="I45" s="113" t="s">
        <v>165</v>
      </c>
      <c r="J45" s="114">
        <f>SUM(J36:J44)</f>
        <v>14340</v>
      </c>
      <c r="K45" s="115">
        <f>SUM(K36:K44)</f>
        <v>1</v>
      </c>
    </row>
    <row r="46" spans="2:11" ht="15" customHeight="1"/>
    <row r="47" spans="2:11" ht="15" customHeight="1"/>
    <row r="48" spans="2:11" ht="15" customHeight="1"/>
    <row r="49" spans="2:8" ht="15" customHeight="1">
      <c r="B49" s="1" t="s">
        <v>335</v>
      </c>
    </row>
    <row r="50" spans="2:8" ht="15" customHeight="1"/>
    <row r="51" spans="2:8" ht="15" customHeight="1"/>
    <row r="52" spans="2:8" ht="15" customHeight="1"/>
    <row r="53" spans="2:8" ht="15" customHeight="1"/>
    <row r="54" spans="2:8" ht="15" customHeight="1"/>
    <row r="55" spans="2:8" ht="15" customHeight="1"/>
    <row r="56" spans="2:8" ht="15" customHeight="1"/>
    <row r="57" spans="2:8" ht="15" customHeight="1">
      <c r="B57" s="1" t="s">
        <v>336</v>
      </c>
    </row>
    <row r="58" spans="2:8" ht="15" customHeight="1"/>
    <row r="59" spans="2:8" ht="15" customHeight="1">
      <c r="B59" s="136" t="s">
        <v>337</v>
      </c>
      <c r="C59" s="136"/>
      <c r="D59" s="136"/>
      <c r="E59" s="136"/>
      <c r="F59" s="136"/>
      <c r="G59" s="136"/>
      <c r="H59" s="136"/>
    </row>
    <row r="60" spans="2:8" ht="15" customHeight="1">
      <c r="B60" s="136"/>
      <c r="C60" s="136"/>
      <c r="D60" s="136"/>
      <c r="E60" s="136"/>
      <c r="F60" s="136"/>
      <c r="G60" s="136"/>
      <c r="H60" s="136"/>
    </row>
    <row r="61" spans="2:8" ht="15" customHeight="1">
      <c r="B61" s="136"/>
      <c r="C61" s="136"/>
      <c r="D61" s="136"/>
      <c r="E61" s="136"/>
      <c r="F61" s="136"/>
      <c r="G61" s="136"/>
      <c r="H61" s="136"/>
    </row>
    <row r="62" spans="2:8" ht="15" customHeight="1"/>
    <row r="63" spans="2:8" ht="15" customHeight="1">
      <c r="B63" s="86" t="s">
        <v>338</v>
      </c>
    </row>
    <row r="64" spans="2:8" ht="15" customHeight="1"/>
    <row r="65" spans="2:2" ht="15" customHeight="1"/>
    <row r="66" spans="2:2" ht="15" customHeight="1"/>
    <row r="67" spans="2:2" ht="15" customHeight="1"/>
    <row r="68" spans="2:2" ht="15" customHeight="1"/>
    <row r="69" spans="2:2" ht="15" customHeight="1"/>
    <row r="70" spans="2:2" ht="15" customHeight="1"/>
    <row r="71" spans="2:2" ht="15" customHeight="1"/>
    <row r="72" spans="2:2" ht="15" customHeight="1"/>
    <row r="73" spans="2:2" ht="15" customHeight="1">
      <c r="B73" s="86" t="s">
        <v>339</v>
      </c>
    </row>
    <row r="74" spans="2:2" ht="15" customHeight="1"/>
    <row r="75" spans="2:2" ht="15" customHeight="1"/>
    <row r="76" spans="2:2" ht="15" customHeight="1"/>
    <row r="77" spans="2:2" ht="15" customHeight="1"/>
    <row r="78" spans="2:2" ht="15" customHeight="1"/>
    <row r="79" spans="2:2" ht="15" customHeight="1"/>
    <row r="80" spans="2:2" ht="15" customHeight="1"/>
    <row r="81" spans="2:2" ht="15" customHeight="1"/>
    <row r="82" spans="2:2" ht="15" customHeight="1"/>
    <row r="83" spans="2:2" ht="15" customHeight="1">
      <c r="B83" s="122" t="s">
        <v>340</v>
      </c>
    </row>
    <row r="84" spans="2:2" ht="15" customHeight="1"/>
    <row r="85" spans="2:2" ht="15" customHeight="1"/>
    <row r="86" spans="2:2" ht="15" customHeight="1"/>
    <row r="87" spans="2:2" ht="15" customHeight="1"/>
    <row r="88" spans="2:2" ht="15" customHeight="1"/>
  </sheetData>
  <mergeCells count="2">
    <mergeCell ref="B9:L12"/>
    <mergeCell ref="B59:H61"/>
  </mergeCells>
  <pageMargins left="0.511811024" right="0.511811024" top="0.78740157499999996" bottom="0.78740157499999996" header="0.31496062000000002" footer="0.31496062000000002"/>
  <drawing r:id="rId1"/>
</worksheet>
</file>

<file path=xl/worksheets/sheet24.xml><?xml version="1.0" encoding="utf-8"?>
<worksheet xmlns="http://schemas.openxmlformats.org/spreadsheetml/2006/main" xmlns:r="http://schemas.openxmlformats.org/officeDocument/2006/relationships">
  <dimension ref="B1:O103"/>
  <sheetViews>
    <sheetView showGridLines="0" showRowColHeaders="0" topLeftCell="F1" workbookViewId="0"/>
  </sheetViews>
  <sheetFormatPr defaultRowHeight="15" customHeight="1" zeroHeight="1"/>
  <cols>
    <col min="1" max="1" width="3.6640625" customWidth="1"/>
    <col min="4" max="4" width="12" bestFit="1" customWidth="1"/>
    <col min="8" max="8" width="12.6640625" customWidth="1"/>
    <col min="9" max="9" width="12.44140625" bestFit="1" customWidth="1"/>
    <col min="10" max="10" width="14.33203125" customWidth="1"/>
    <col min="11" max="11" width="12" customWidth="1"/>
  </cols>
  <sheetData>
    <row r="1" spans="2:15" ht="14.4"/>
    <row r="2" spans="2:15" ht="14.4"/>
    <row r="3" spans="2:15" ht="14.4"/>
    <row r="4" spans="2:15" ht="14.4"/>
    <row r="5" spans="2:15" ht="14.4"/>
    <row r="6" spans="2:15" ht="14.4"/>
    <row r="7" spans="2:15" ht="23.4">
      <c r="B7" s="6" t="s">
        <v>341</v>
      </c>
    </row>
    <row r="8" spans="2:15" ht="14.4"/>
    <row r="9" spans="2:15" ht="14.4">
      <c r="B9" s="4"/>
      <c r="C9" s="29"/>
    </row>
    <row r="10" spans="2:15" ht="14.4">
      <c r="B10" s="4"/>
      <c r="C10" s="29"/>
    </row>
    <row r="11" spans="2:15" ht="23.4">
      <c r="B11" s="7" t="s">
        <v>69</v>
      </c>
      <c r="C11" s="29"/>
    </row>
    <row r="12" spans="2:15" ht="14.4"/>
    <row r="13" spans="2:15" ht="14.4">
      <c r="B13" s="4"/>
      <c r="C13" s="137" t="s">
        <v>342</v>
      </c>
      <c r="D13" s="137"/>
      <c r="E13" s="137"/>
      <c r="F13" s="137"/>
      <c r="G13" s="137"/>
      <c r="H13" s="137"/>
      <c r="I13" s="137"/>
      <c r="J13" s="137"/>
      <c r="K13" s="137"/>
      <c r="L13" s="137"/>
      <c r="M13" s="137"/>
      <c r="N13" s="137"/>
      <c r="O13" s="137"/>
    </row>
    <row r="14" spans="2:15" ht="14.4">
      <c r="C14" s="137"/>
      <c r="D14" s="137"/>
      <c r="E14" s="137"/>
      <c r="F14" s="137"/>
      <c r="G14" s="137"/>
      <c r="H14" s="137"/>
      <c r="I14" s="137"/>
      <c r="J14" s="137"/>
      <c r="K14" s="137"/>
      <c r="L14" s="137"/>
      <c r="M14" s="137"/>
      <c r="N14" s="137"/>
      <c r="O14" s="137"/>
    </row>
    <row r="15" spans="2:15" ht="14.4">
      <c r="C15" s="68"/>
      <c r="D15" s="68"/>
      <c r="E15" s="68"/>
      <c r="F15" s="68"/>
      <c r="G15" s="68"/>
      <c r="H15" s="68"/>
      <c r="I15" s="68"/>
      <c r="J15" s="68"/>
      <c r="K15" s="68"/>
      <c r="L15" s="68"/>
      <c r="M15" s="68"/>
      <c r="N15" s="68"/>
      <c r="O15" s="68"/>
    </row>
    <row r="16" spans="2:15" ht="23.4">
      <c r="B16" s="7" t="s">
        <v>72</v>
      </c>
    </row>
    <row r="17" spans="2:4" ht="14.4"/>
    <row r="18" spans="2:4" ht="14.4"/>
    <row r="19" spans="2:4" ht="14.4">
      <c r="B19" s="1" t="s">
        <v>343</v>
      </c>
      <c r="D19" s="81"/>
    </row>
    <row r="20" spans="2:4" ht="14.4"/>
    <row r="21" spans="2:4" ht="14.4"/>
    <row r="22" spans="2:4" ht="14.4"/>
    <row r="23" spans="2:4" ht="14.4"/>
    <row r="24" spans="2:4" ht="14.4"/>
    <row r="25" spans="2:4" ht="14.4"/>
    <row r="26" spans="2:4" ht="14.4"/>
    <row r="27" spans="2:4" ht="14.4"/>
    <row r="28" spans="2:4" ht="14.4"/>
    <row r="29" spans="2:4" ht="14.4"/>
    <row r="30" spans="2:4" ht="14.4"/>
    <row r="31" spans="2:4" s="96" customFormat="1" ht="7.5" customHeight="1"/>
    <row r="32" spans="2:4" ht="23.4">
      <c r="B32" s="6" t="s">
        <v>344</v>
      </c>
    </row>
    <row r="33" spans="2:2" ht="14.4"/>
    <row r="34" spans="2:2" ht="14.4"/>
    <row r="35" spans="2:2" ht="23.4">
      <c r="B35" s="7" t="s">
        <v>72</v>
      </c>
    </row>
    <row r="36" spans="2:2" ht="14.4"/>
    <row r="37" spans="2:2" ht="14.4"/>
    <row r="38" spans="2:2" ht="14.4"/>
    <row r="39" spans="2:2" ht="14.4"/>
    <row r="40" spans="2:2" ht="14.4">
      <c r="B40" s="1" t="s">
        <v>345</v>
      </c>
    </row>
    <row r="41" spans="2:2" ht="14.4"/>
    <row r="42" spans="2:2" ht="14.4"/>
    <row r="43" spans="2:2" ht="14.4"/>
    <row r="44" spans="2:2" ht="14.4"/>
    <row r="45" spans="2:2" ht="14.4"/>
    <row r="46" spans="2:2" ht="14.4"/>
    <row r="47" spans="2:2" ht="14.4"/>
    <row r="48" spans="2:2" ht="14.4">
      <c r="B48" s="1" t="s">
        <v>346</v>
      </c>
    </row>
    <row r="49" ht="14.4"/>
    <row r="50" ht="14.4"/>
    <row r="51" ht="14.4"/>
    <row r="52" ht="14.4"/>
    <row r="53" ht="14.4"/>
    <row r="54" ht="14.4"/>
    <row r="55" ht="14.4"/>
    <row r="56" ht="14.4"/>
    <row r="57" ht="14.4"/>
    <row r="58" ht="14.4"/>
    <row r="59" ht="14.4"/>
    <row r="60" ht="14.4"/>
    <row r="61" ht="14.4"/>
    <row r="62" ht="14.4"/>
    <row r="63" ht="14.4"/>
    <row r="64" ht="14.4"/>
    <row r="65" spans="2:2" ht="14.4"/>
    <row r="66" spans="2:2" ht="14.4"/>
    <row r="67" spans="2:2" ht="14.4">
      <c r="B67" s="1" t="s">
        <v>347</v>
      </c>
    </row>
    <row r="68" spans="2:2" ht="14.4"/>
    <row r="69" spans="2:2" ht="14.4"/>
    <row r="70" spans="2:2" ht="14.4"/>
    <row r="71" spans="2:2" ht="14.4"/>
    <row r="72" spans="2:2" ht="14.4"/>
    <row r="73" spans="2:2" ht="14.4"/>
    <row r="74" spans="2:2" ht="14.4"/>
    <row r="75" spans="2:2" ht="14.4"/>
    <row r="76" spans="2:2" ht="14.4"/>
    <row r="77" spans="2:2" ht="14.4"/>
    <row r="78" spans="2:2" ht="14.4"/>
    <row r="79" spans="2:2" ht="14.4"/>
    <row r="80" spans="2:2" ht="14.4"/>
    <row r="81" ht="14.4"/>
    <row r="82" ht="14.4"/>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sheetData>
  <mergeCells count="1">
    <mergeCell ref="C13:O14"/>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24</vt:i4>
      </vt:variant>
      <vt:variant>
        <vt:lpstr>Intervalos nomeados</vt:lpstr>
      </vt:variant>
      <vt:variant>
        <vt:i4>1</vt:i4>
      </vt:variant>
    </vt:vector>
  </HeadingPairs>
  <TitlesOfParts>
    <vt:vector size="25" baseType="lpstr">
      <vt:lpstr>Capa</vt:lpstr>
      <vt:lpstr>autofiltro</vt:lpstr>
      <vt:lpstr>calculo %</vt:lpstr>
      <vt:lpstr>concatenar</vt:lpstr>
      <vt:lpstr>procv</vt:lpstr>
      <vt:lpstr>Soma</vt:lpstr>
      <vt:lpstr>media</vt:lpstr>
      <vt:lpstr>Tabela dinamica</vt:lpstr>
      <vt:lpstr>ProtPlan</vt:lpstr>
      <vt:lpstr>SE</vt:lpstr>
      <vt:lpstr>Esquerda</vt:lpstr>
      <vt:lpstr>Direita</vt:lpstr>
      <vt:lpstr>Cont.se</vt:lpstr>
      <vt:lpstr>Máximo</vt:lpstr>
      <vt:lpstr>Mínimo</vt:lpstr>
      <vt:lpstr>Maior</vt:lpstr>
      <vt:lpstr>Menor</vt:lpstr>
      <vt:lpstr>congelar</vt:lpstr>
      <vt:lpstr>validação</vt:lpstr>
      <vt:lpstr>hoje</vt:lpstr>
      <vt:lpstr>hiperlink</vt:lpstr>
      <vt:lpstr>cont.num</vt:lpstr>
      <vt:lpstr>grafico</vt:lpstr>
      <vt:lpstr>guia planilha</vt:lpstr>
      <vt:lpstr>autofiltro!BMbacktotop</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g0006223</dc:creator>
  <cp:lastModifiedBy>Vendas752</cp:lastModifiedBy>
  <dcterms:created xsi:type="dcterms:W3CDTF">2012-04-18T18:29:53Z</dcterms:created>
  <dcterms:modified xsi:type="dcterms:W3CDTF">2017-06-07T20:04:12Z</dcterms:modified>
</cp:coreProperties>
</file>