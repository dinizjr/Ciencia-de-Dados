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5120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C7" i="1" l="1"/>
  <c r="J20" i="1"/>
  <c r="I20" i="1"/>
  <c r="J19" i="1"/>
  <c r="I19" i="1"/>
  <c r="J18" i="1"/>
  <c r="I18" i="1"/>
  <c r="J17" i="1"/>
  <c r="I17" i="1"/>
  <c r="J16" i="1"/>
  <c r="I16" i="1"/>
</calcChain>
</file>

<file path=xl/sharedStrings.xml><?xml version="1.0" encoding="utf-8"?>
<sst xmlns="http://schemas.openxmlformats.org/spreadsheetml/2006/main" count="22" uniqueCount="21">
  <si>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</si>
  <si>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</si>
  <si>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</si>
  <si>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</si>
  <si>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</si>
  <si>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</si>
  <si>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</si>
  <si>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</si>
  <si>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</si>
  <si>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</si>
  <si>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</si>
  <si>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</si>
  <si>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prod</t>
  </si>
  <si>
    <t>T</t>
  </si>
  <si>
    <t>média</t>
  </si>
  <si>
    <t>mediana</t>
  </si>
  <si>
    <t>moda</t>
  </si>
  <si>
    <t>desvPad</t>
  </si>
  <si>
    <t>CV</t>
  </si>
  <si>
    <t>CORRELAÇÃO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</si>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</sst>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5" formatCode="#,##0.00000_ ;\-#,##0.0000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2" applyNumberFormat="1" applyFont="1"/>
    <xf numFmtId="165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tabSelected="1" workbookViewId="0">
      <selection activeCell="E18" sqref="E18"/>
    </sheetView>
  </sheetViews>
  <sheetFormatPr defaultRowHeight="15" x14ac:dyDescent="0.25"/>
  <sheetData>
    <row r="1" spans="2:10" x14ac:dyDescent="0.25">
      <c r="H1" t="s">
        <v>12</v>
      </c>
    </row>
    <row r="2" spans="2:10" x14ac:dyDescent="0.25">
      <c r="I2" t="s">
        <v>13</v>
      </c>
      <c r="J2" t="s">
        <v>13</v>
      </c>
    </row>
    <row r="3" spans="2:10" x14ac:dyDescent="0.25">
      <c r="H3" t="s">
        <v>0</v>
      </c>
      <c r="I3">
        <v>120</v>
      </c>
      <c r="J3">
        <v>17</v>
      </c>
    </row>
    <row r="4" spans="2:10" x14ac:dyDescent="0.25">
      <c r="H4" t="s">
        <v>1</v>
      </c>
      <c r="I4">
        <v>108</v>
      </c>
      <c r="J4">
        <v>13</v>
      </c>
    </row>
    <row r="5" spans="2:10" x14ac:dyDescent="0.25">
      <c r="B5" t="s">
        <v>19</v>
      </c>
      <c r="H5" t="s">
        <v>2</v>
      </c>
      <c r="I5">
        <v>117</v>
      </c>
      <c r="J5">
        <v>15</v>
      </c>
    </row>
    <row r="6" spans="2:10" x14ac:dyDescent="0.25">
      <c r="H6" t="s">
        <v>3</v>
      </c>
      <c r="I6">
        <v>122</v>
      </c>
      <c r="J6">
        <v>18</v>
      </c>
    </row>
    <row r="7" spans="2:10" x14ac:dyDescent="0.25">
      <c r="B7" t="s">
        <v>20</v>
      </c>
      <c r="C7" s="2">
        <f>CORREL(I3:I14,J3:J14)</f>
        <v>0.90778132336969586</v>
      </c>
      <c r="H7" t="s">
        <v>4</v>
      </c>
      <c r="I7">
        <v>132</v>
      </c>
      <c r="J7">
        <v>21</v>
      </c>
    </row>
    <row r="8" spans="2:10" x14ac:dyDescent="0.25">
      <c r="H8" t="s">
        <v>5</v>
      </c>
      <c r="I8">
        <v>128</v>
      </c>
      <c r="J8">
        <v>19</v>
      </c>
    </row>
    <row r="9" spans="2:10" x14ac:dyDescent="0.25">
      <c r="H9" t="s">
        <v>6</v>
      </c>
      <c r="I9">
        <v>126</v>
      </c>
      <c r="J9">
        <v>16</v>
      </c>
    </row>
    <row r="10" spans="2:10" x14ac:dyDescent="0.25">
      <c r="H10" t="s">
        <v>7</v>
      </c>
      <c r="I10">
        <v>117</v>
      </c>
      <c r="J10">
        <v>15</v>
      </c>
    </row>
    <row r="11" spans="2:10" x14ac:dyDescent="0.25">
      <c r="H11" t="s">
        <v>8</v>
      </c>
      <c r="I11">
        <v>119</v>
      </c>
      <c r="J11">
        <v>17</v>
      </c>
    </row>
    <row r="12" spans="2:10" x14ac:dyDescent="0.25">
      <c r="H12" t="s">
        <v>9</v>
      </c>
      <c r="I12">
        <v>110</v>
      </c>
      <c r="J12">
        <v>14</v>
      </c>
    </row>
    <row r="13" spans="2:10" x14ac:dyDescent="0.25">
      <c r="H13" t="s">
        <v>10</v>
      </c>
      <c r="I13">
        <v>121</v>
      </c>
      <c r="J13">
        <v>17</v>
      </c>
    </row>
    <row r="14" spans="2:10" x14ac:dyDescent="0.25">
      <c r="H14" t="s">
        <v>11</v>
      </c>
      <c r="I14">
        <v>124</v>
      </c>
      <c r="J14">
        <v>19</v>
      </c>
    </row>
    <row r="16" spans="2:10" x14ac:dyDescent="0.25">
      <c r="H16" t="s">
        <v>14</v>
      </c>
      <c r="I16">
        <f>AVERAGE(I3:I14)</f>
        <v>120.33333333333333</v>
      </c>
      <c r="J16">
        <f>AVERAGE(J3:J14)</f>
        <v>16.75</v>
      </c>
    </row>
    <row r="17" spans="8:10" x14ac:dyDescent="0.25">
      <c r="H17" t="s">
        <v>15</v>
      </c>
      <c r="I17">
        <f>MEDIAN(I3:I14)</f>
        <v>120.5</v>
      </c>
      <c r="J17">
        <f>MEDIAN(J3:J14)</f>
        <v>17</v>
      </c>
    </row>
    <row r="18" spans="8:10" x14ac:dyDescent="0.25">
      <c r="H18" t="s">
        <v>16</v>
      </c>
      <c r="I18">
        <f>MODE(I3:I14)</f>
        <v>117</v>
      </c>
      <c r="J18">
        <f>MODE(J3:J14)</f>
        <v>17</v>
      </c>
    </row>
    <row r="19" spans="8:10" x14ac:dyDescent="0.25">
      <c r="H19" t="s">
        <v>17</v>
      </c>
      <c r="I19">
        <f>_xlfn.STDEV.S(I3:I14)</f>
        <v>6.9194499693825282</v>
      </c>
      <c r="J19">
        <f>_xlfn.STDEV.S(J3:J14)</f>
        <v>2.3011854652449344</v>
      </c>
    </row>
    <row r="20" spans="8:10" x14ac:dyDescent="0.25">
      <c r="H20" t="s">
        <v>18</v>
      </c>
      <c r="I20" s="1">
        <f>I19/I16</f>
        <v>5.7502354316198295E-2</v>
      </c>
      <c r="J20" s="1">
        <f>J19/J16</f>
        <v>0.1373842068802946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Francisco</dc:creator>
  <cp:lastModifiedBy>João Francisco</cp:lastModifiedBy>
  <dcterms:created xsi:type="dcterms:W3CDTF">2018-03-03T18:52:34Z</dcterms:created>
  <dcterms:modified xsi:type="dcterms:W3CDTF">2018-03-03T21:04:10Z</dcterms:modified>
</cp:coreProperties>
</file>