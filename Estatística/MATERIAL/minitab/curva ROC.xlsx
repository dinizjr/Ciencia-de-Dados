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hidePivotFieldList="1" defaultThemeVersion="124226"/>
  <bookViews>
    <workbookView xWindow="120" yWindow="15" windowWidth="19035" windowHeight="12015"/>
  </bookViews>
  <sheets>
    <sheet name="Plan1" sheetId="1" r:id="rId1"/>
    <sheet name="Plan2" sheetId="2" r:id="rId2"/>
    <sheet name="Plan3" sheetId="3" r:id="rId3"/>
  </sheets>
  <calcPr calcId="125725"/>
  <pivotCaches>
    <pivotCache cacheId="95" r:id="rId4"/>
  </pivotCaches>
</workbook>
</file>

<file path=xl/calcChain.xml><?xml version="1.0" encoding="utf-8"?>
<calcChain xmlns="http://schemas.openxmlformats.org/spreadsheetml/2006/main">
  <c r="M4" i="1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3"/>
  <c r="J3"/>
  <c r="K3"/>
  <c r="L3"/>
  <c r="J4"/>
  <c r="K4"/>
  <c r="L4"/>
  <c r="J5"/>
  <c r="K5"/>
  <c r="L5"/>
  <c r="J6"/>
  <c r="K6"/>
  <c r="L6"/>
  <c r="J7"/>
  <c r="K7"/>
  <c r="L7"/>
  <c r="J8"/>
  <c r="K8"/>
  <c r="L8"/>
  <c r="J9"/>
  <c r="K9"/>
  <c r="L9"/>
  <c r="J10"/>
  <c r="K10"/>
  <c r="L10"/>
  <c r="J11"/>
  <c r="K11"/>
  <c r="L11"/>
  <c r="J12"/>
  <c r="K12"/>
  <c r="L12"/>
  <c r="J13"/>
  <c r="K13"/>
  <c r="L13"/>
  <c r="J14"/>
  <c r="K14"/>
  <c r="L14"/>
  <c r="J15"/>
  <c r="K15"/>
  <c r="L15"/>
  <c r="J16"/>
  <c r="K16"/>
  <c r="L16"/>
  <c r="J17"/>
  <c r="K17"/>
  <c r="L17"/>
  <c r="J18"/>
  <c r="K18"/>
  <c r="L18"/>
  <c r="J19"/>
  <c r="K19"/>
  <c r="L19"/>
  <c r="J20"/>
  <c r="K20"/>
  <c r="L20"/>
  <c r="J21"/>
  <c r="K21"/>
  <c r="L21"/>
  <c r="J22"/>
  <c r="K22"/>
  <c r="L22"/>
  <c r="J23"/>
  <c r="K23"/>
  <c r="L23"/>
  <c r="J24"/>
  <c r="K24"/>
  <c r="L24"/>
  <c r="J25"/>
  <c r="K25"/>
  <c r="L25"/>
  <c r="J26"/>
  <c r="K26"/>
  <c r="L26"/>
  <c r="J27"/>
  <c r="K27"/>
  <c r="L27"/>
  <c r="J28"/>
  <c r="K28"/>
  <c r="L28"/>
  <c r="J29"/>
  <c r="K29"/>
  <c r="L29"/>
  <c r="J30"/>
  <c r="K30"/>
  <c r="L30"/>
  <c r="J31"/>
  <c r="K31"/>
  <c r="L31"/>
  <c r="J32"/>
  <c r="K32"/>
  <c r="L32"/>
  <c r="J33"/>
  <c r="K33"/>
  <c r="L33"/>
  <c r="J34"/>
  <c r="K34"/>
  <c r="L34"/>
  <c r="J35"/>
  <c r="K35"/>
  <c r="L35"/>
  <c r="J36"/>
  <c r="K36"/>
  <c r="L36"/>
  <c r="J37"/>
  <c r="K37"/>
  <c r="L37"/>
  <c r="J38"/>
  <c r="K38"/>
  <c r="L38"/>
  <c r="J39"/>
  <c r="K39"/>
  <c r="L39"/>
  <c r="J40"/>
  <c r="K40"/>
  <c r="L40"/>
  <c r="J41"/>
  <c r="K41"/>
  <c r="L41"/>
  <c r="J42"/>
  <c r="K42"/>
  <c r="L42"/>
  <c r="Q9"/>
  <c r="P9"/>
</calcChain>
</file>

<file path=xl/sharedStrings.xml><?xml version="1.0" encoding="utf-8"?>
<sst xmlns="http://schemas.openxmlformats.org/spreadsheetml/2006/main" count="28" uniqueCount="24">
  <si>
    <t>Cliente</t>
  </si>
  <si>
    <t>Sexo</t>
  </si>
  <si>
    <t>Idade</t>
  </si>
  <si>
    <t>Solteiro?</t>
  </si>
  <si>
    <t>Inadimplente</t>
  </si>
  <si>
    <t>Probabilidade prevista de inadimplência</t>
  </si>
  <si>
    <t>% acumulada bons</t>
  </si>
  <si>
    <t>% acumulada maus</t>
  </si>
  <si>
    <t>diferença</t>
  </si>
  <si>
    <t>total bons</t>
  </si>
  <si>
    <t>total maus</t>
  </si>
  <si>
    <t>Escore</t>
  </si>
  <si>
    <t>previsto</t>
  </si>
  <si>
    <t>Total</t>
  </si>
  <si>
    <t>real</t>
  </si>
  <si>
    <t>pto corte_&gt;</t>
  </si>
  <si>
    <t>classificação</t>
  </si>
  <si>
    <t>pt corte</t>
  </si>
  <si>
    <t>Rótulos de Coluna</t>
  </si>
  <si>
    <t>Total geral</t>
  </si>
  <si>
    <t>Rótulos de Linha</t>
  </si>
  <si>
    <t>Contar de classificação</t>
  </si>
  <si>
    <t>1-especif</t>
  </si>
  <si>
    <t>sensibil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</si>
</sst>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DBE5F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10" fontId="0" fillId="0" borderId="0" xfId="0" applyNumberFormat="1"/>
    <xf numFmtId="0" fontId="0" fillId="0" borderId="2" xfId="0" applyFill="1" applyBorder="1" applyAlignment="1">
      <alignment horizontal="center" wrapText="1"/>
    </xf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0" fontId="1" fillId="0" borderId="1" xfId="1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164" fontId="0" fillId="2" borderId="1" xfId="0" applyNumberFormat="1" applyFill="1" applyBorder="1"/>
    <xf numFmtId="164" fontId="0" fillId="0" borderId="0" xfId="0" applyNumberFormat="1"/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4" xfId="0" applyFont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0" borderId="10" xfId="0" applyFont="1" applyBorder="1" applyAlignment="1">
      <alignment wrapText="1"/>
    </xf>
    <xf numFmtId="0" fontId="2" fillId="0" borderId="5" xfId="0" applyFont="1" applyBorder="1" applyAlignment="1">
      <alignment horizontal="center" wrapText="1" readingOrder="1"/>
    </xf>
    <xf numFmtId="0" fontId="2" fillId="0" borderId="6" xfId="0" applyFont="1" applyBorder="1" applyAlignment="1">
      <alignment horizontal="center" wrapText="1" readingOrder="1"/>
    </xf>
    <xf numFmtId="0" fontId="2" fillId="0" borderId="8" xfId="0" applyFont="1" applyBorder="1" applyAlignment="1">
      <alignment horizontal="right" textRotation="90" wrapText="1" readingOrder="1"/>
    </xf>
    <xf numFmtId="0" fontId="2" fillId="0" borderId="9" xfId="0" applyFont="1" applyBorder="1" applyAlignment="1">
      <alignment horizontal="right" textRotation="90" wrapText="1" readingOrder="1"/>
    </xf>
    <xf numFmtId="0" fontId="3" fillId="4" borderId="4" xfId="0" applyFont="1" applyFill="1" applyBorder="1" applyAlignment="1">
      <alignment horizontal="center" wrapTex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autoTitleDeleted val="1"/>
    <c:plotArea>
      <c:layout>
        <c:manualLayout>
          <c:layoutTarget val="inner"/>
          <c:xMode val="edge"/>
          <c:yMode val="edge"/>
          <c:x val="8.8772379154064884E-2"/>
          <c:y val="3.2251328061116545E-2"/>
          <c:w val="0.83738579371808186"/>
          <c:h val="0.81179832913042738"/>
        </c:manualLayout>
      </c:layout>
      <c:scatterChart>
        <c:scatterStyle val="lineMarker"/>
        <c:ser>
          <c:idx val="0"/>
          <c:order val="0"/>
          <c:tx>
            <c:strRef>
              <c:f>Plan1!$K$2</c:f>
              <c:strCache>
                <c:ptCount val="1"/>
                <c:pt idx="0">
                  <c:v>% acumulada bons</c:v>
                </c:pt>
              </c:strCache>
            </c:strRef>
          </c:tx>
          <c:spPr>
            <a:ln w="25400">
              <a:solidFill>
                <a:schemeClr val="tx2"/>
              </a:solidFill>
            </a:ln>
          </c:spPr>
          <c:marker>
            <c:symbol val="diamond"/>
            <c:size val="3"/>
            <c:spPr>
              <a:ln>
                <a:solidFill>
                  <a:schemeClr val="tx2"/>
                </a:solidFill>
              </a:ln>
            </c:spPr>
          </c:marker>
          <c:dLbls>
            <c:dLbl>
              <c:idx val="39"/>
              <c:layout/>
              <c:dLblPos val="r"/>
              <c:showVal val="1"/>
              <c:showCatName val="1"/>
            </c:dLbl>
            <c:delete val="1"/>
          </c:dLbls>
          <c:xVal>
            <c:numRef>
              <c:f>Plan1!$J$3:$J$42</c:f>
              <c:numCache>
                <c:formatCode>0.00%</c:formatCode>
                <c:ptCount val="40"/>
                <c:pt idx="0">
                  <c:v>0.99986612006144659</c:v>
                </c:pt>
                <c:pt idx="1">
                  <c:v>0.99986612006144659</c:v>
                </c:pt>
                <c:pt idx="2">
                  <c:v>0.99978029863222662</c:v>
                </c:pt>
                <c:pt idx="3">
                  <c:v>0.99887836752902381</c:v>
                </c:pt>
                <c:pt idx="4">
                  <c:v>0.99840832454774719</c:v>
                </c:pt>
                <c:pt idx="5">
                  <c:v>0.99796184349708683</c:v>
                </c:pt>
                <c:pt idx="6">
                  <c:v>0.997390447347137</c:v>
                </c:pt>
                <c:pt idx="7">
                  <c:v>0.99300222218164802</c:v>
                </c:pt>
                <c:pt idx="8">
                  <c:v>0.99009318114518552</c:v>
                </c:pt>
                <c:pt idx="9">
                  <c:v>0.98856673014679375</c:v>
                </c:pt>
                <c:pt idx="10">
                  <c:v>0.98539995252329959</c:v>
                </c:pt>
                <c:pt idx="11">
                  <c:v>0.98316114286921219</c:v>
                </c:pt>
                <c:pt idx="12">
                  <c:v>0.97626101144286637</c:v>
                </c:pt>
                <c:pt idx="13">
                  <c:v>0.97265969463346102</c:v>
                </c:pt>
                <c:pt idx="14">
                  <c:v>0.96162430685833455</c:v>
                </c:pt>
                <c:pt idx="15">
                  <c:v>0.96162430685833455</c:v>
                </c:pt>
                <c:pt idx="16">
                  <c:v>0.95590282958547657</c:v>
                </c:pt>
                <c:pt idx="17">
                  <c:v>0.95590282958547657</c:v>
                </c:pt>
                <c:pt idx="18">
                  <c:v>0.95590282958547657</c:v>
                </c:pt>
                <c:pt idx="19">
                  <c:v>0.94637558685182654</c:v>
                </c:pt>
                <c:pt idx="20">
                  <c:v>0.93232276892319166</c:v>
                </c:pt>
                <c:pt idx="21">
                  <c:v>0.91491835124991239</c:v>
                </c:pt>
                <c:pt idx="22">
                  <c:v>0.86758951188373612</c:v>
                </c:pt>
                <c:pt idx="23">
                  <c:v>0.86268020528900757</c:v>
                </c:pt>
                <c:pt idx="24">
                  <c:v>0.81565268858502882</c:v>
                </c:pt>
                <c:pt idx="25">
                  <c:v>0.79969676363705433</c:v>
                </c:pt>
                <c:pt idx="26">
                  <c:v>0.79287119960884367</c:v>
                </c:pt>
                <c:pt idx="27">
                  <c:v>0.79287119960884367</c:v>
                </c:pt>
                <c:pt idx="28">
                  <c:v>0.74924960009265573</c:v>
                </c:pt>
                <c:pt idx="29">
                  <c:v>0.72945263709601593</c:v>
                </c:pt>
                <c:pt idx="30">
                  <c:v>0.70868140813200098</c:v>
                </c:pt>
                <c:pt idx="31">
                  <c:v>0.69991819406247935</c:v>
                </c:pt>
                <c:pt idx="32">
                  <c:v>0.62159973816649372</c:v>
                </c:pt>
                <c:pt idx="33">
                  <c:v>0.34539879314782906</c:v>
                </c:pt>
                <c:pt idx="34">
                  <c:v>0.34539879314782906</c:v>
                </c:pt>
                <c:pt idx="35">
                  <c:v>0.25111810692270964</c:v>
                </c:pt>
                <c:pt idx="36">
                  <c:v>7.7548883153968795E-2</c:v>
                </c:pt>
                <c:pt idx="37">
                  <c:v>4.8728403363422435E-2</c:v>
                </c:pt>
                <c:pt idx="38">
                  <c:v>1.866322351221783E-2</c:v>
                </c:pt>
                <c:pt idx="39">
                  <c:v>7.0113844732520025E-3</c:v>
                </c:pt>
              </c:numCache>
            </c:numRef>
          </c:xVal>
          <c:yVal>
            <c:numRef>
              <c:f>Plan1!$K$3:$K$42</c:f>
              <c:numCache>
                <c:formatCode>0.0%</c:formatCode>
                <c:ptCount val="40"/>
                <c:pt idx="0">
                  <c:v>0.967741935483871</c:v>
                </c:pt>
                <c:pt idx="1">
                  <c:v>1</c:v>
                </c:pt>
                <c:pt idx="2">
                  <c:v>0.93548387096774188</c:v>
                </c:pt>
                <c:pt idx="3">
                  <c:v>0.90322580645161288</c:v>
                </c:pt>
                <c:pt idx="4">
                  <c:v>0.87096774193548387</c:v>
                </c:pt>
                <c:pt idx="5">
                  <c:v>0.83870967741935487</c:v>
                </c:pt>
                <c:pt idx="6">
                  <c:v>0.80645161290322576</c:v>
                </c:pt>
                <c:pt idx="7">
                  <c:v>0.77419354838709675</c:v>
                </c:pt>
                <c:pt idx="8">
                  <c:v>0.74193548387096775</c:v>
                </c:pt>
                <c:pt idx="9">
                  <c:v>0.70967741935483875</c:v>
                </c:pt>
                <c:pt idx="10">
                  <c:v>0.67741935483870963</c:v>
                </c:pt>
                <c:pt idx="11">
                  <c:v>0.64516129032258063</c:v>
                </c:pt>
                <c:pt idx="12">
                  <c:v>0.61290322580645162</c:v>
                </c:pt>
                <c:pt idx="13">
                  <c:v>0.58064516129032262</c:v>
                </c:pt>
                <c:pt idx="14">
                  <c:v>0.5161290322580645</c:v>
                </c:pt>
                <c:pt idx="15">
                  <c:v>0.54838709677419351</c:v>
                </c:pt>
                <c:pt idx="16">
                  <c:v>0.41935483870967744</c:v>
                </c:pt>
                <c:pt idx="17">
                  <c:v>0.45161290322580644</c:v>
                </c:pt>
                <c:pt idx="18">
                  <c:v>0.4838709677419355</c:v>
                </c:pt>
                <c:pt idx="19">
                  <c:v>0.38709677419354838</c:v>
                </c:pt>
                <c:pt idx="20">
                  <c:v>0.35483870967741937</c:v>
                </c:pt>
                <c:pt idx="21">
                  <c:v>0.32258064516129031</c:v>
                </c:pt>
                <c:pt idx="22">
                  <c:v>0.29032258064516131</c:v>
                </c:pt>
                <c:pt idx="23">
                  <c:v>0.29032258064516131</c:v>
                </c:pt>
                <c:pt idx="24">
                  <c:v>0.29032258064516131</c:v>
                </c:pt>
                <c:pt idx="25">
                  <c:v>0.25806451612903225</c:v>
                </c:pt>
                <c:pt idx="26">
                  <c:v>0.19354838709677419</c:v>
                </c:pt>
                <c:pt idx="27">
                  <c:v>0.22580645161290322</c:v>
                </c:pt>
                <c:pt idx="28">
                  <c:v>0.19354838709677419</c:v>
                </c:pt>
                <c:pt idx="29">
                  <c:v>0.16129032258064516</c:v>
                </c:pt>
                <c:pt idx="30">
                  <c:v>0.12903225806451613</c:v>
                </c:pt>
                <c:pt idx="31">
                  <c:v>9.6774193548387094E-2</c:v>
                </c:pt>
                <c:pt idx="32">
                  <c:v>6.4516129032258063E-2</c:v>
                </c:pt>
                <c:pt idx="33">
                  <c:v>0</c:v>
                </c:pt>
                <c:pt idx="34">
                  <c:v>3.2258064516129031E-2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</c:ser>
        <c:ser>
          <c:idx val="1"/>
          <c:order val="1"/>
          <c:tx>
            <c:strRef>
              <c:f>Plan1!$L$2</c:f>
              <c:strCache>
                <c:ptCount val="1"/>
                <c:pt idx="0">
                  <c:v>% acumulada maus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circle"/>
            <c:size val="2"/>
            <c:spPr>
              <a:ln>
                <a:solidFill>
                  <a:srgbClr val="FF0000"/>
                </a:solidFill>
              </a:ln>
            </c:spPr>
          </c:marker>
          <c:dLbls>
            <c:dLbl>
              <c:idx val="39"/>
              <c:layout/>
              <c:dLblPos val="r"/>
              <c:showVal val="1"/>
              <c:showCatName val="1"/>
            </c:dLbl>
            <c:delete val="1"/>
          </c:dLbls>
          <c:xVal>
            <c:numRef>
              <c:f>Plan1!$J$3:$J$42</c:f>
              <c:numCache>
                <c:formatCode>0.00%</c:formatCode>
                <c:ptCount val="40"/>
                <c:pt idx="0">
                  <c:v>0.99986612006144659</c:v>
                </c:pt>
                <c:pt idx="1">
                  <c:v>0.99986612006144659</c:v>
                </c:pt>
                <c:pt idx="2">
                  <c:v>0.99978029863222662</c:v>
                </c:pt>
                <c:pt idx="3">
                  <c:v>0.99887836752902381</c:v>
                </c:pt>
                <c:pt idx="4">
                  <c:v>0.99840832454774719</c:v>
                </c:pt>
                <c:pt idx="5">
                  <c:v>0.99796184349708683</c:v>
                </c:pt>
                <c:pt idx="6">
                  <c:v>0.997390447347137</c:v>
                </c:pt>
                <c:pt idx="7">
                  <c:v>0.99300222218164802</c:v>
                </c:pt>
                <c:pt idx="8">
                  <c:v>0.99009318114518552</c:v>
                </c:pt>
                <c:pt idx="9">
                  <c:v>0.98856673014679375</c:v>
                </c:pt>
                <c:pt idx="10">
                  <c:v>0.98539995252329959</c:v>
                </c:pt>
                <c:pt idx="11">
                  <c:v>0.98316114286921219</c:v>
                </c:pt>
                <c:pt idx="12">
                  <c:v>0.97626101144286637</c:v>
                </c:pt>
                <c:pt idx="13">
                  <c:v>0.97265969463346102</c:v>
                </c:pt>
                <c:pt idx="14">
                  <c:v>0.96162430685833455</c:v>
                </c:pt>
                <c:pt idx="15">
                  <c:v>0.96162430685833455</c:v>
                </c:pt>
                <c:pt idx="16">
                  <c:v>0.95590282958547657</c:v>
                </c:pt>
                <c:pt idx="17">
                  <c:v>0.95590282958547657</c:v>
                </c:pt>
                <c:pt idx="18">
                  <c:v>0.95590282958547657</c:v>
                </c:pt>
                <c:pt idx="19">
                  <c:v>0.94637558685182654</c:v>
                </c:pt>
                <c:pt idx="20">
                  <c:v>0.93232276892319166</c:v>
                </c:pt>
                <c:pt idx="21">
                  <c:v>0.91491835124991239</c:v>
                </c:pt>
                <c:pt idx="22">
                  <c:v>0.86758951188373612</c:v>
                </c:pt>
                <c:pt idx="23">
                  <c:v>0.86268020528900757</c:v>
                </c:pt>
                <c:pt idx="24">
                  <c:v>0.81565268858502882</c:v>
                </c:pt>
                <c:pt idx="25">
                  <c:v>0.79969676363705433</c:v>
                </c:pt>
                <c:pt idx="26">
                  <c:v>0.79287119960884367</c:v>
                </c:pt>
                <c:pt idx="27">
                  <c:v>0.79287119960884367</c:v>
                </c:pt>
                <c:pt idx="28">
                  <c:v>0.74924960009265573</c:v>
                </c:pt>
                <c:pt idx="29">
                  <c:v>0.72945263709601593</c:v>
                </c:pt>
                <c:pt idx="30">
                  <c:v>0.70868140813200098</c:v>
                </c:pt>
                <c:pt idx="31">
                  <c:v>0.69991819406247935</c:v>
                </c:pt>
                <c:pt idx="32">
                  <c:v>0.62159973816649372</c:v>
                </c:pt>
                <c:pt idx="33">
                  <c:v>0.34539879314782906</c:v>
                </c:pt>
                <c:pt idx="34">
                  <c:v>0.34539879314782906</c:v>
                </c:pt>
                <c:pt idx="35">
                  <c:v>0.25111810692270964</c:v>
                </c:pt>
                <c:pt idx="36">
                  <c:v>7.7548883153968795E-2</c:v>
                </c:pt>
                <c:pt idx="37">
                  <c:v>4.8728403363422435E-2</c:v>
                </c:pt>
                <c:pt idx="38">
                  <c:v>1.866322351221783E-2</c:v>
                </c:pt>
                <c:pt idx="39">
                  <c:v>7.0113844732520025E-3</c:v>
                </c:pt>
              </c:numCache>
            </c:numRef>
          </c:xVal>
          <c:yVal>
            <c:numRef>
              <c:f>Plan1!$L$3:$L$42</c:f>
              <c:numCache>
                <c:formatCode>0.0%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0.88888888888888884</c:v>
                </c:pt>
                <c:pt idx="24">
                  <c:v>0.77777777777777779</c:v>
                </c:pt>
                <c:pt idx="25">
                  <c:v>0.77777777777777779</c:v>
                </c:pt>
                <c:pt idx="26">
                  <c:v>0.77777777777777779</c:v>
                </c:pt>
                <c:pt idx="27">
                  <c:v>0.77777777777777779</c:v>
                </c:pt>
                <c:pt idx="28">
                  <c:v>0.66666666666666663</c:v>
                </c:pt>
                <c:pt idx="29">
                  <c:v>0.66666666666666663</c:v>
                </c:pt>
                <c:pt idx="30">
                  <c:v>0.66666666666666663</c:v>
                </c:pt>
                <c:pt idx="31">
                  <c:v>0.66666666666666663</c:v>
                </c:pt>
                <c:pt idx="32">
                  <c:v>0.66666666666666663</c:v>
                </c:pt>
                <c:pt idx="33">
                  <c:v>0.66666666666666663</c:v>
                </c:pt>
                <c:pt idx="34">
                  <c:v>0.66666666666666663</c:v>
                </c:pt>
                <c:pt idx="35">
                  <c:v>0.55555555555555558</c:v>
                </c:pt>
                <c:pt idx="36">
                  <c:v>0.44444444444444442</c:v>
                </c:pt>
                <c:pt idx="37">
                  <c:v>0.33333333333333331</c:v>
                </c:pt>
                <c:pt idx="38">
                  <c:v>0.22222222222222221</c:v>
                </c:pt>
                <c:pt idx="39">
                  <c:v>0.1111111111111111</c:v>
                </c:pt>
              </c:numCache>
            </c:numRef>
          </c:yVal>
        </c:ser>
        <c:axId val="67250816"/>
        <c:axId val="67249280"/>
      </c:scatterChart>
      <c:valAx>
        <c:axId val="67250816"/>
        <c:scaling>
          <c:orientation val="minMax"/>
          <c:max val="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Prob.</a:t>
                </a:r>
                <a:r>
                  <a:rPr lang="pt-BR" baseline="0"/>
                  <a:t> bom pagador</a:t>
                </a:r>
                <a:endParaRPr lang="pt-BR"/>
              </a:p>
            </c:rich>
          </c:tx>
          <c:layout/>
        </c:title>
        <c:numFmt formatCode="0.00%" sourceLinked="1"/>
        <c:majorTickMark val="none"/>
        <c:tickLblPos val="nextTo"/>
        <c:crossAx val="67249280"/>
        <c:crosses val="autoZero"/>
        <c:crossBetween val="midCat"/>
      </c:valAx>
      <c:valAx>
        <c:axId val="67249280"/>
        <c:scaling>
          <c:orientation val="minMax"/>
        </c:scaling>
        <c:axPos val="l"/>
        <c:majorGridlines/>
        <c:numFmt formatCode="0.0%" sourceLinked="1"/>
        <c:majorTickMark val="none"/>
        <c:tickLblPos val="nextTo"/>
        <c:crossAx val="672508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493372948004634"/>
          <c:y val="0.19184327449264918"/>
          <c:w val="0.1894401127795878"/>
          <c:h val="0.10505686789151356"/>
        </c:manualLayout>
      </c:layout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Curva ROC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Plan1!$Q$10</c:f>
              <c:strCache>
                <c:ptCount val="1"/>
                <c:pt idx="0">
                  <c:v>sensibil</c:v>
                </c:pt>
              </c:strCache>
            </c:strRef>
          </c:tx>
          <c:spPr>
            <a:ln w="28575">
              <a:solidFill>
                <a:srgbClr val="1F497D"/>
              </a:solidFill>
            </a:ln>
          </c:spPr>
          <c:dLbls>
            <c:dLbl>
              <c:idx val="18"/>
              <c:layout/>
              <c:dLblPos val="r"/>
              <c:showVal val="1"/>
              <c:showCatName val="1"/>
            </c:dLbl>
            <c:delete val="1"/>
          </c:dLbls>
          <c:xVal>
            <c:numRef>
              <c:f>Plan1!$P$11:$P$29</c:f>
              <c:numCache>
                <c:formatCode>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0.22222222222222221</c:v>
                </c:pt>
                <c:pt idx="3">
                  <c:v>0.22222222222222221</c:v>
                </c:pt>
                <c:pt idx="4">
                  <c:v>0.33333333333333331</c:v>
                </c:pt>
                <c:pt idx="5">
                  <c:v>0.33333333333333331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0.33333333333333331</c:v>
                </c:pt>
                <c:pt idx="11">
                  <c:v>0.33333333333333331</c:v>
                </c:pt>
                <c:pt idx="12">
                  <c:v>0.33333333333333331</c:v>
                </c:pt>
                <c:pt idx="13">
                  <c:v>0.44444444444444442</c:v>
                </c:pt>
                <c:pt idx="14">
                  <c:v>0.55500000000000005</c:v>
                </c:pt>
                <c:pt idx="15">
                  <c:v>0.55500000000000005</c:v>
                </c:pt>
                <c:pt idx="16">
                  <c:v>0.55500000000000005</c:v>
                </c:pt>
                <c:pt idx="17">
                  <c:v>0.55500000000000005</c:v>
                </c:pt>
                <c:pt idx="18" formatCode="General">
                  <c:v>0.66669999999999996</c:v>
                </c:pt>
              </c:numCache>
            </c:numRef>
          </c:xVal>
          <c:yVal>
            <c:numRef>
              <c:f>Plan1!$Q$11:$Q$29</c:f>
              <c:numCache>
                <c:formatCode>0.00</c:formatCode>
                <c:ptCount val="19"/>
                <c:pt idx="0">
                  <c:v>0.61290322580645162</c:v>
                </c:pt>
                <c:pt idx="1">
                  <c:v>0.70967741935483875</c:v>
                </c:pt>
                <c:pt idx="2">
                  <c:v>0.70967741935483875</c:v>
                </c:pt>
                <c:pt idx="3">
                  <c:v>0.74193548387096775</c:v>
                </c:pt>
                <c:pt idx="4">
                  <c:v>0.80645161290322576</c:v>
                </c:pt>
                <c:pt idx="5">
                  <c:v>0.90322580645161288</c:v>
                </c:pt>
                <c:pt idx="6">
                  <c:v>0.93548387096774188</c:v>
                </c:pt>
                <c:pt idx="7">
                  <c:v>0.967741935483871</c:v>
                </c:pt>
                <c:pt idx="8">
                  <c:v>0.967741935483871</c:v>
                </c:pt>
                <c:pt idx="9">
                  <c:v>0.967741935483871</c:v>
                </c:pt>
                <c:pt idx="10">
                  <c:v>0.967741935483871</c:v>
                </c:pt>
                <c:pt idx="11">
                  <c:v>0.967741935483871</c:v>
                </c:pt>
                <c:pt idx="12">
                  <c:v>0.967741935483871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yVal>
        </c:ser>
        <c:axId val="113993216"/>
        <c:axId val="110908160"/>
      </c:scatterChart>
      <c:valAx>
        <c:axId val="113993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1-Especificidade</a:t>
                </a:r>
              </a:p>
            </c:rich>
          </c:tx>
          <c:layout/>
        </c:title>
        <c:numFmt formatCode="0.00" sourceLinked="1"/>
        <c:majorTickMark val="none"/>
        <c:tickLblPos val="nextTo"/>
        <c:crossAx val="110908160"/>
        <c:crosses val="autoZero"/>
        <c:crossBetween val="midCat"/>
      </c:valAx>
      <c:valAx>
        <c:axId val="11090816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Sensibilidade</a:t>
                </a:r>
              </a:p>
            </c:rich>
          </c:tx>
          <c:layout/>
        </c:title>
        <c:numFmt formatCode="0.00" sourceLinked="1"/>
        <c:majorTickMark val="none"/>
        <c:tickLblPos val="nextTo"/>
        <c:crossAx val="113993216"/>
        <c:crosses val="autoZero"/>
        <c:crossBetween val="midCat"/>
      </c:valAx>
    </c:plotArea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11</xdr:row>
      <xdr:rowOff>142875</xdr:rowOff>
    </xdr:from>
    <xdr:to>
      <xdr:col>29</xdr:col>
      <xdr:colOff>504826</xdr:colOff>
      <xdr:row>34</xdr:row>
      <xdr:rowOff>133350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380999</xdr:colOff>
      <xdr:row>39</xdr:row>
      <xdr:rowOff>171450</xdr:rowOff>
    </xdr:from>
    <xdr:to>
      <xdr:col>21</xdr:col>
      <xdr:colOff>380999</xdr:colOff>
      <xdr:row>59</xdr:row>
      <xdr:rowOff>38100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dre" refreshedDate="40696.063563541669" createdVersion="3" refreshedVersion="3" minRefreshableVersion="3" recordCount="40">
  <cacheSource type="worksheet">
    <worksheetSource ref="A2:M42" sheet="Plan1"/>
  </cacheSource>
  <cacheFields count="13">
    <cacheField name="Cliente" numFmtId="0">
      <sharedItems containsSemiMixedTypes="0" containsString="0" containsNumber="1" containsInteger="1" minValue="1" maxValue="40"/>
    </cacheField>
    <cacheField name="Sexo" numFmtId="0">
      <sharedItems containsSemiMixedTypes="0" containsString="0" containsNumber="1" containsInteger="1" minValue="0" maxValue="1"/>
    </cacheField>
    <cacheField name="Idade" numFmtId="0">
      <sharedItems containsSemiMixedTypes="0" containsString="0" containsNumber="1" containsInteger="1" minValue="23" maxValue="61"/>
    </cacheField>
    <cacheField name="Solteiro?" numFmtId="0">
      <sharedItems containsSemiMixedTypes="0" containsString="0" containsNumber="1" containsInteger="1" minValue="0" maxValue="1"/>
    </cacheField>
    <cacheField name="Inadimplente" numFmtId="0">
      <sharedItems containsSemiMixedTypes="0" containsString="0" containsNumber="1" containsInteger="1" minValue="0" maxValue="1" count="2">
        <n v="0"/>
        <n v="1"/>
      </sharedItems>
    </cacheField>
    <cacheField name="Probabilidade prevista de inadimplência" numFmtId="10">
      <sharedItems containsSemiMixedTypes="0" containsString="0" containsNumber="1" minValue="1.3387993855340058E-4" maxValue="0.992988615526748"/>
    </cacheField>
    <cacheField name="% acumulada bons" numFmtId="164">
      <sharedItems containsSemiMixedTypes="0" containsString="0" containsNumber="1" minValue="0" maxValue="1"/>
    </cacheField>
    <cacheField name="% acumulada maus" numFmtId="164">
      <sharedItems containsSemiMixedTypes="0" containsString="0" containsNumber="1" minValue="0.1111111111111111" maxValue="1"/>
    </cacheField>
    <cacheField name="diferença" numFmtId="164">
      <sharedItems containsSemiMixedTypes="0" containsString="0" containsNumber="1" minValue="0" maxValue="0.70967741935483875"/>
    </cacheField>
    <cacheField name="Escore" numFmtId="10">
      <sharedItems containsSemiMixedTypes="0" containsString="0" containsNumber="1" minValue="7.0113844732520025E-3" maxValue="0.99986612006144659"/>
    </cacheField>
    <cacheField name="% acumulada bons2" numFmtId="164">
      <sharedItems containsSemiMixedTypes="0" containsString="0" containsNumber="1" minValue="0" maxValue="1"/>
    </cacheField>
    <cacheField name="% acumulada maus2" numFmtId="164">
      <sharedItems containsSemiMixedTypes="0" containsString="0" containsNumber="1" minValue="0.1111111111111111" maxValue="1"/>
    </cacheField>
    <cacheField name="classificação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n v="19"/>
    <n v="0"/>
    <n v="55"/>
    <n v="0"/>
    <x v="0"/>
    <n v="1.3387993855340058E-4"/>
    <n v="0.967741935483871"/>
    <n v="1"/>
    <n v="3.2258064516129004E-2"/>
    <n v="0.99986612006144659"/>
    <n v="0.967741935483871"/>
    <n v="1"/>
    <x v="0"/>
  </r>
  <r>
    <n v="21"/>
    <n v="0"/>
    <n v="55"/>
    <n v="0"/>
    <x v="0"/>
    <n v="1.3387993855340058E-4"/>
    <n v="1"/>
    <n v="1"/>
    <n v="0"/>
    <n v="0.99986612006144659"/>
    <n v="1"/>
    <n v="1"/>
    <x v="0"/>
  </r>
  <r>
    <n v="24"/>
    <n v="0"/>
    <n v="53"/>
    <n v="0"/>
    <x v="0"/>
    <n v="2.1970136777341192E-4"/>
    <n v="0.93548387096774188"/>
    <n v="1"/>
    <n v="6.4516129032258118E-2"/>
    <n v="0.99978029863222662"/>
    <n v="0.93548387096774188"/>
    <n v="1"/>
    <x v="0"/>
  </r>
  <r>
    <n v="18"/>
    <n v="1"/>
    <n v="61"/>
    <n v="0"/>
    <x v="0"/>
    <n v="1.1216324709761325E-3"/>
    <n v="0.90322580645161288"/>
    <n v="1"/>
    <n v="9.6774193548387122E-2"/>
    <n v="0.99887836752902381"/>
    <n v="0.90322580645161288"/>
    <n v="1"/>
    <x v="0"/>
  </r>
  <r>
    <n v="36"/>
    <n v="0"/>
    <n v="45"/>
    <n v="0"/>
    <x v="0"/>
    <n v="1.59167545225286E-3"/>
    <n v="0.87096774193548387"/>
    <n v="1"/>
    <n v="0.12903225806451613"/>
    <n v="0.99840832454774719"/>
    <n v="0.87096774193548387"/>
    <n v="1"/>
    <x v="0"/>
  </r>
  <r>
    <n v="11"/>
    <n v="0"/>
    <n v="44"/>
    <n v="0"/>
    <x v="0"/>
    <n v="2.0381565029132199E-3"/>
    <n v="0.83870967741935487"/>
    <n v="1"/>
    <n v="0.16129032258064513"/>
    <n v="0.99796184349708683"/>
    <n v="0.83870967741935487"/>
    <n v="1"/>
    <x v="0"/>
  </r>
  <r>
    <n v="27"/>
    <n v="0"/>
    <n v="43"/>
    <n v="0"/>
    <x v="0"/>
    <n v="2.6095526528630299E-3"/>
    <n v="0.80645161290322576"/>
    <n v="1"/>
    <n v="0.19354838709677424"/>
    <n v="0.997390447347137"/>
    <n v="0.80645161290322576"/>
    <n v="1"/>
    <x v="0"/>
  </r>
  <r>
    <n v="9"/>
    <n v="0"/>
    <n v="39"/>
    <n v="0"/>
    <x v="0"/>
    <n v="6.9977778183520148E-3"/>
    <n v="0.77419354838709675"/>
    <n v="1"/>
    <n v="0.22580645161290325"/>
    <n v="0.99300222218164802"/>
    <n v="0.77419354838709675"/>
    <n v="1"/>
    <x v="0"/>
  </r>
  <r>
    <n v="30"/>
    <n v="0"/>
    <n v="49"/>
    <n v="1"/>
    <x v="0"/>
    <n v="9.9068188548145034E-3"/>
    <n v="0.74193548387096775"/>
    <n v="1"/>
    <n v="0.25806451612903225"/>
    <n v="0.99009318114518552"/>
    <n v="0.74193548387096775"/>
    <n v="1"/>
    <x v="0"/>
  </r>
  <r>
    <n v="29"/>
    <n v="0"/>
    <n v="37"/>
    <n v="0"/>
    <x v="0"/>
    <n v="1.1433269853206212E-2"/>
    <n v="0.70967741935483875"/>
    <n v="1"/>
    <n v="0.29032258064516125"/>
    <n v="0.98856673014679375"/>
    <n v="0.70967741935483875"/>
    <n v="1"/>
    <x v="0"/>
  </r>
  <r>
    <n v="22"/>
    <n v="0"/>
    <n v="36"/>
    <n v="0"/>
    <x v="0"/>
    <n v="1.460004747670041E-2"/>
    <n v="0.67741935483870963"/>
    <n v="1"/>
    <n v="0.32258064516129037"/>
    <n v="0.98539995252329959"/>
    <n v="0.67741935483870963"/>
    <n v="1"/>
    <x v="0"/>
  </r>
  <r>
    <n v="23"/>
    <n v="1"/>
    <n v="50"/>
    <n v="0"/>
    <x v="0"/>
    <n v="1.6838857130787761E-2"/>
    <n v="0.64516129032258063"/>
    <n v="1"/>
    <n v="0.35483870967741937"/>
    <n v="0.98316114286921219"/>
    <n v="0.64516129032258063"/>
    <n v="1"/>
    <x v="0"/>
  </r>
  <r>
    <n v="37"/>
    <n v="0"/>
    <n v="34"/>
    <n v="0"/>
    <x v="0"/>
    <n v="2.3738988557133602E-2"/>
    <n v="0.61290322580645162"/>
    <n v="1"/>
    <n v="0.38709677419354838"/>
    <n v="0.97626101144286637"/>
    <n v="0.61290322580645162"/>
    <n v="1"/>
    <x v="0"/>
  </r>
  <r>
    <n v="3"/>
    <n v="1"/>
    <n v="48"/>
    <n v="0"/>
    <x v="0"/>
    <n v="2.734030536653893E-2"/>
    <n v="0.58064516129032262"/>
    <n v="1"/>
    <n v="0.41935483870967738"/>
    <n v="0.97265969463346102"/>
    <n v="0.58064516129032262"/>
    <n v="1"/>
    <x v="0"/>
  </r>
  <r>
    <n v="20"/>
    <n v="0"/>
    <n v="32"/>
    <n v="0"/>
    <x v="0"/>
    <n v="3.837569314166546E-2"/>
    <n v="0.5161290322580645"/>
    <n v="1"/>
    <n v="0.4838709677419355"/>
    <n v="0.96162430685833455"/>
    <n v="0.5161290322580645"/>
    <n v="1"/>
    <x v="0"/>
  </r>
  <r>
    <n v="40"/>
    <n v="0"/>
    <n v="32"/>
    <n v="0"/>
    <x v="0"/>
    <n v="3.837569314166546E-2"/>
    <n v="0.54838709677419351"/>
    <n v="1"/>
    <n v="0.45161290322580649"/>
    <n v="0.96162430685833455"/>
    <n v="0.54838709677419351"/>
    <n v="1"/>
    <x v="0"/>
  </r>
  <r>
    <n v="4"/>
    <n v="1"/>
    <n v="46"/>
    <n v="0"/>
    <x v="0"/>
    <n v="4.4097170414523441E-2"/>
    <n v="0.41935483870967744"/>
    <n v="1"/>
    <n v="0.58064516129032251"/>
    <n v="0.95590282958547657"/>
    <n v="0.41935483870967744"/>
    <n v="1"/>
    <x v="0"/>
  </r>
  <r>
    <n v="6"/>
    <n v="1"/>
    <n v="46"/>
    <n v="0"/>
    <x v="0"/>
    <n v="4.4097170414523441E-2"/>
    <n v="0.45161290322580644"/>
    <n v="1"/>
    <n v="0.54838709677419351"/>
    <n v="0.95590282958547657"/>
    <n v="0.45161290322580644"/>
    <n v="1"/>
    <x v="0"/>
  </r>
  <r>
    <n v="35"/>
    <n v="1"/>
    <n v="46"/>
    <n v="0"/>
    <x v="0"/>
    <n v="4.4097170414523441E-2"/>
    <n v="0.4838709677419355"/>
    <n v="1"/>
    <n v="0.5161290322580645"/>
    <n v="0.95590282958547657"/>
    <n v="0.4838709677419355"/>
    <n v="1"/>
    <x v="0"/>
  </r>
  <r>
    <n v="28"/>
    <n v="0"/>
    <n v="42"/>
    <n v="1"/>
    <x v="0"/>
    <n v="5.3624413148173435E-2"/>
    <n v="0.38709677419354838"/>
    <n v="1"/>
    <n v="0.61290322580645162"/>
    <n v="0.94637558685182654"/>
    <n v="0.38709677419354838"/>
    <n v="1"/>
    <x v="0"/>
  </r>
  <r>
    <n v="2"/>
    <n v="0"/>
    <n v="41"/>
    <n v="1"/>
    <x v="0"/>
    <n v="6.7677231076808383E-2"/>
    <n v="0.35483870967741937"/>
    <n v="1"/>
    <n v="0.64516129032258063"/>
    <n v="0.93232276892319166"/>
    <n v="0.35483870967741937"/>
    <n v="1"/>
    <x v="0"/>
  </r>
  <r>
    <n v="13"/>
    <n v="0"/>
    <n v="40"/>
    <n v="1"/>
    <x v="0"/>
    <n v="8.5081648750087627E-2"/>
    <n v="0.32258064516129031"/>
    <n v="1"/>
    <n v="0.67741935483870974"/>
    <n v="0.91491835124991239"/>
    <n v="0.32258064516129031"/>
    <n v="1"/>
    <x v="0"/>
  </r>
  <r>
    <n v="15"/>
    <n v="0"/>
    <n v="38"/>
    <n v="1"/>
    <x v="1"/>
    <n v="0.13241048811626385"/>
    <n v="0.29032258064516131"/>
    <n v="1"/>
    <n v="0.70967741935483875"/>
    <n v="0.86758951188373612"/>
    <n v="0.29032258064516131"/>
    <n v="1"/>
    <x v="0"/>
  </r>
  <r>
    <n v="8"/>
    <n v="1"/>
    <n v="41"/>
    <n v="0"/>
    <x v="1"/>
    <n v="0.13731979471099245"/>
    <n v="0.29032258064516131"/>
    <n v="0.88888888888888884"/>
    <n v="0.59856630824372759"/>
    <n v="0.86268020528900757"/>
    <n v="0.29032258064516131"/>
    <n v="0.88888888888888884"/>
    <x v="0"/>
  </r>
  <r>
    <n v="7"/>
    <n v="1"/>
    <n v="51"/>
    <n v="1"/>
    <x v="0"/>
    <n v="0.18434731141497113"/>
    <n v="0.29032258064516131"/>
    <n v="0.77777777777777779"/>
    <n v="0.48745519713261648"/>
    <n v="0.81565268858502882"/>
    <n v="0.29032258064516131"/>
    <n v="0.77777777777777779"/>
    <x v="0"/>
  </r>
  <r>
    <n v="26"/>
    <n v="0"/>
    <n v="36"/>
    <n v="1"/>
    <x v="0"/>
    <n v="0.20030323636294567"/>
    <n v="0.25806451612903225"/>
    <n v="0.77777777777777779"/>
    <n v="0.51971326164874554"/>
    <n v="0.79969676363705433"/>
    <n v="0.25806451612903225"/>
    <n v="0.77777777777777779"/>
    <x v="0"/>
  </r>
  <r>
    <n v="14"/>
    <n v="1"/>
    <n v="39"/>
    <n v="0"/>
    <x v="1"/>
    <n v="0.2071288003911563"/>
    <n v="0.19354838709677419"/>
    <n v="0.77777777777777779"/>
    <n v="0.58422939068100366"/>
    <n v="0.79287119960884367"/>
    <n v="0.19354838709677419"/>
    <n v="0.77777777777777779"/>
    <x v="0"/>
  </r>
  <r>
    <n v="25"/>
    <n v="1"/>
    <n v="39"/>
    <n v="0"/>
    <x v="0"/>
    <n v="0.2071288003911563"/>
    <n v="0.22580645161290322"/>
    <n v="0.77777777777777779"/>
    <n v="0.55197132616487454"/>
    <n v="0.79287119960884367"/>
    <n v="0.22580645161290322"/>
    <n v="0.77777777777777779"/>
    <x v="0"/>
  </r>
  <r>
    <n v="16"/>
    <n v="1"/>
    <n v="38"/>
    <n v="0"/>
    <x v="0"/>
    <n v="0.25075039990734427"/>
    <n v="0.19354838709677419"/>
    <n v="0.66666666666666663"/>
    <n v="0.47311827956989244"/>
    <n v="0.74924960009265573"/>
    <n v="0.19354838709677419"/>
    <n v="0.66666666666666663"/>
    <x v="0"/>
  </r>
  <r>
    <n v="12"/>
    <n v="0"/>
    <n v="23"/>
    <n v="0"/>
    <x v="0"/>
    <n v="0.27054736290398401"/>
    <n v="0.16129032258064516"/>
    <n v="0.66666666666666663"/>
    <n v="0.5053763440860215"/>
    <n v="0.72945263709601593"/>
    <n v="0.16129032258064516"/>
    <n v="0.66666666666666663"/>
    <x v="0"/>
  </r>
  <r>
    <n v="34"/>
    <n v="0"/>
    <n v="34"/>
    <n v="1"/>
    <x v="0"/>
    <n v="0.29131859186799902"/>
    <n v="0.12903225806451613"/>
    <n v="0.66666666666666663"/>
    <n v="0.5376344086021505"/>
    <n v="0.70868140813200098"/>
    <n v="0.12903225806451613"/>
    <n v="0.66666666666666663"/>
    <x v="0"/>
  </r>
  <r>
    <n v="38"/>
    <n v="1"/>
    <n v="37"/>
    <n v="0"/>
    <x v="0"/>
    <n v="0.30008180593752065"/>
    <n v="9.6774193548387094E-2"/>
    <n v="0.66666666666666663"/>
    <n v="0.56989247311827951"/>
    <n v="0.69991819406247935"/>
    <n v="9.6774193548387094E-2"/>
    <n v="0.66666666666666663"/>
    <x v="0"/>
  </r>
  <r>
    <n v="33"/>
    <n v="1"/>
    <n v="47"/>
    <n v="1"/>
    <x v="0"/>
    <n v="0.37840026183350628"/>
    <n v="6.4516129032258063E-2"/>
    <n v="0.66666666666666663"/>
    <n v="0.60215053763440851"/>
    <n v="0.62159973816649372"/>
    <n v="6.4516129032258063E-2"/>
    <n v="0.66666666666666663"/>
    <x v="0"/>
  </r>
  <r>
    <n v="5"/>
    <n v="1"/>
    <n v="31"/>
    <n v="0"/>
    <x v="1"/>
    <n v="0.65460120685217094"/>
    <n v="0"/>
    <n v="0.66666666666666663"/>
    <n v="0.66666666666666663"/>
    <n v="0.34539879314782906"/>
    <n v="0"/>
    <n v="0.66666666666666663"/>
    <x v="0"/>
  </r>
  <r>
    <n v="32"/>
    <n v="1"/>
    <n v="31"/>
    <n v="0"/>
    <x v="0"/>
    <n v="0.65460120685217094"/>
    <n v="3.2258064516129031E-2"/>
    <n v="0.66666666666666663"/>
    <n v="0.63440860215053763"/>
    <n v="0.34539879314782906"/>
    <n v="3.2258064516129031E-2"/>
    <n v="0.66666666666666663"/>
    <x v="0"/>
  </r>
  <r>
    <n v="31"/>
    <n v="0"/>
    <n v="26"/>
    <n v="1"/>
    <x v="1"/>
    <n v="0.74888189307729036"/>
    <n v="0"/>
    <n v="0.55555555555555558"/>
    <n v="0.55555555555555558"/>
    <n v="0.25111810692270964"/>
    <n v="0"/>
    <n v="0.55555555555555558"/>
    <x v="0"/>
  </r>
  <r>
    <n v="10"/>
    <n v="1"/>
    <n v="35"/>
    <n v="1"/>
    <x v="1"/>
    <n v="0.9224511168460312"/>
    <n v="0"/>
    <n v="0.44444444444444442"/>
    <n v="0.44444444444444442"/>
    <n v="7.7548883153968795E-2"/>
    <n v="0"/>
    <n v="0.44444444444444442"/>
    <x v="0"/>
  </r>
  <r>
    <n v="17"/>
    <n v="1"/>
    <n v="33"/>
    <n v="1"/>
    <x v="1"/>
    <n v="0.95127159663657757"/>
    <n v="0"/>
    <n v="0.33333333333333331"/>
    <n v="0.33333333333333331"/>
    <n v="4.8728403363422435E-2"/>
    <n v="0"/>
    <n v="0.33333333333333331"/>
    <x v="1"/>
  </r>
  <r>
    <n v="39"/>
    <n v="1"/>
    <n v="29"/>
    <n v="1"/>
    <x v="1"/>
    <n v="0.98133677648778217"/>
    <n v="0"/>
    <n v="0.22222222222222221"/>
    <n v="0.22222222222222221"/>
    <n v="1.866322351221783E-2"/>
    <n v="0"/>
    <n v="0.22222222222222221"/>
    <x v="1"/>
  </r>
  <r>
    <n v="1"/>
    <n v="1"/>
    <n v="25"/>
    <n v="1"/>
    <x v="1"/>
    <n v="0.992988615526748"/>
    <n v="0"/>
    <n v="0.1111111111111111"/>
    <n v="0.1111111111111111"/>
    <n v="7.0113844732520025E-3"/>
    <n v="0"/>
    <n v="0.11111111111111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95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P2:S6" firstHeaderRow="1" firstDataRow="2" firstDataCol="1"/>
  <pivotFields count="13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10" showAll="0"/>
    <pivotField numFmtId="164" showAll="0"/>
    <pivotField numFmtId="164" showAll="0"/>
    <pivotField numFmtId="164" showAll="0"/>
    <pivotField numFmtId="10" showAll="0"/>
    <pivotField numFmtId="164" showAll="0"/>
    <pivotField numFmtId="164" showAll="0"/>
    <pivotField axis="axisCol" dataField="1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ntar de classificação" fld="12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topLeftCell="F1" workbookViewId="0">
      <selection activeCell="P10" sqref="P10:Q29"/>
    </sheetView>
  </sheetViews>
  <sheetFormatPr defaultRowHeight="15"/>
  <cols>
    <col min="1" max="1" width="7" customWidth="1"/>
    <col min="2" max="2" width="4.85546875" customWidth="1"/>
    <col min="3" max="3" width="6.140625" customWidth="1"/>
    <col min="4" max="4" width="6.42578125" customWidth="1"/>
    <col min="16" max="16" width="21.140625" customWidth="1"/>
    <col min="17" max="17" width="19.5703125" customWidth="1"/>
    <col min="18" max="18" width="2" customWidth="1"/>
    <col min="19" max="19" width="10.28515625" bestFit="1" customWidth="1"/>
  </cols>
  <sheetData>
    <row r="1" spans="1:19">
      <c r="L1" s="3" t="s">
        <v>15</v>
      </c>
      <c r="M1">
        <v>0.95</v>
      </c>
    </row>
    <row r="2" spans="1:19" ht="90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4" t="s">
        <v>6</v>
      </c>
      <c r="H2" s="4" t="s">
        <v>7</v>
      </c>
      <c r="I2" s="12" t="s">
        <v>8</v>
      </c>
      <c r="J2" s="2" t="s">
        <v>11</v>
      </c>
      <c r="K2" s="4" t="s">
        <v>6</v>
      </c>
      <c r="L2" s="4" t="s">
        <v>7</v>
      </c>
      <c r="M2" s="2" t="s">
        <v>16</v>
      </c>
      <c r="P2" s="27" t="s">
        <v>21</v>
      </c>
      <c r="Q2" s="27" t="s">
        <v>18</v>
      </c>
    </row>
    <row r="3" spans="1:19">
      <c r="A3" s="6">
        <v>19</v>
      </c>
      <c r="B3" s="6">
        <v>0</v>
      </c>
      <c r="C3" s="6">
        <v>55</v>
      </c>
      <c r="D3" s="6">
        <v>0</v>
      </c>
      <c r="E3" s="6">
        <v>0</v>
      </c>
      <c r="F3" s="7">
        <v>1.3387993855340058E-4</v>
      </c>
      <c r="G3" s="11">
        <v>0.967741935483871</v>
      </c>
      <c r="H3" s="11">
        <v>1</v>
      </c>
      <c r="I3" s="13">
        <v>3.2258064516129004E-2</v>
      </c>
      <c r="J3" s="1">
        <f>1-F3</f>
        <v>0.99986612006144659</v>
      </c>
      <c r="K3" s="15">
        <f>G3</f>
        <v>0.967741935483871</v>
      </c>
      <c r="L3" s="15">
        <f>H3</f>
        <v>1</v>
      </c>
      <c r="M3">
        <f>IF(F3&lt;M$1,0,1)</f>
        <v>0</v>
      </c>
      <c r="P3" s="27" t="s">
        <v>20</v>
      </c>
      <c r="Q3" s="3">
        <v>0</v>
      </c>
      <c r="R3" s="3">
        <v>1</v>
      </c>
      <c r="S3" s="3" t="s">
        <v>19</v>
      </c>
    </row>
    <row r="4" spans="1:19">
      <c r="A4" s="6">
        <v>21</v>
      </c>
      <c r="B4" s="6">
        <v>0</v>
      </c>
      <c r="C4" s="6">
        <v>55</v>
      </c>
      <c r="D4" s="6">
        <v>0</v>
      </c>
      <c r="E4" s="6">
        <v>0</v>
      </c>
      <c r="F4" s="7">
        <v>1.3387993855340058E-4</v>
      </c>
      <c r="G4" s="11">
        <v>1</v>
      </c>
      <c r="H4" s="11">
        <v>1</v>
      </c>
      <c r="I4" s="13">
        <v>0</v>
      </c>
      <c r="J4" s="1">
        <f>1-F4</f>
        <v>0.99986612006144659</v>
      </c>
      <c r="K4" s="15">
        <f>G4</f>
        <v>1</v>
      </c>
      <c r="L4" s="15">
        <f>H4</f>
        <v>1</v>
      </c>
      <c r="M4" s="3">
        <f t="shared" ref="M4:M42" si="0">IF(F4&lt;M$1,0,1)</f>
        <v>0</v>
      </c>
      <c r="P4" s="28">
        <v>0</v>
      </c>
      <c r="Q4" s="29">
        <v>31</v>
      </c>
      <c r="R4" s="29"/>
      <c r="S4" s="29">
        <v>31</v>
      </c>
    </row>
    <row r="5" spans="1:19">
      <c r="A5" s="6">
        <v>24</v>
      </c>
      <c r="B5" s="6">
        <v>0</v>
      </c>
      <c r="C5" s="6">
        <v>53</v>
      </c>
      <c r="D5" s="6">
        <v>0</v>
      </c>
      <c r="E5" s="6">
        <v>0</v>
      </c>
      <c r="F5" s="7">
        <v>2.1970136777341192E-4</v>
      </c>
      <c r="G5" s="11">
        <v>0.93548387096774188</v>
      </c>
      <c r="H5" s="11">
        <v>1</v>
      </c>
      <c r="I5" s="13">
        <v>6.4516129032258118E-2</v>
      </c>
      <c r="J5" s="1">
        <f>1-F5</f>
        <v>0.99978029863222662</v>
      </c>
      <c r="K5" s="15">
        <f>G5</f>
        <v>0.93548387096774188</v>
      </c>
      <c r="L5" s="15">
        <f>H5</f>
        <v>1</v>
      </c>
      <c r="M5" s="3">
        <f t="shared" si="0"/>
        <v>0</v>
      </c>
      <c r="P5" s="28">
        <v>1</v>
      </c>
      <c r="Q5" s="29">
        <v>6</v>
      </c>
      <c r="R5" s="29">
        <v>3</v>
      </c>
      <c r="S5" s="29">
        <v>9</v>
      </c>
    </row>
    <row r="6" spans="1:19">
      <c r="A6" s="6">
        <v>18</v>
      </c>
      <c r="B6" s="6">
        <v>1</v>
      </c>
      <c r="C6" s="6">
        <v>61</v>
      </c>
      <c r="D6" s="6">
        <v>0</v>
      </c>
      <c r="E6" s="6">
        <v>0</v>
      </c>
      <c r="F6" s="7">
        <v>1.1216324709761325E-3</v>
      </c>
      <c r="G6" s="11">
        <v>0.90322580645161288</v>
      </c>
      <c r="H6" s="11">
        <v>1</v>
      </c>
      <c r="I6" s="13">
        <v>9.6774193548387122E-2</v>
      </c>
      <c r="J6" s="1">
        <f>1-F6</f>
        <v>0.99887836752902381</v>
      </c>
      <c r="K6" s="15">
        <f>G6</f>
        <v>0.90322580645161288</v>
      </c>
      <c r="L6" s="15">
        <f>H6</f>
        <v>1</v>
      </c>
      <c r="M6" s="3">
        <f t="shared" si="0"/>
        <v>0</v>
      </c>
      <c r="P6" s="28" t="s">
        <v>19</v>
      </c>
      <c r="Q6" s="29">
        <v>37</v>
      </c>
      <c r="R6" s="29">
        <v>3</v>
      </c>
      <c r="S6" s="29">
        <v>40</v>
      </c>
    </row>
    <row r="7" spans="1:19">
      <c r="A7" s="6">
        <v>36</v>
      </c>
      <c r="B7" s="6">
        <v>0</v>
      </c>
      <c r="C7" s="6">
        <v>45</v>
      </c>
      <c r="D7" s="6">
        <v>0</v>
      </c>
      <c r="E7" s="6">
        <v>0</v>
      </c>
      <c r="F7" s="7">
        <v>1.59167545225286E-3</v>
      </c>
      <c r="G7" s="11">
        <v>0.87096774193548387</v>
      </c>
      <c r="H7" s="11">
        <v>1</v>
      </c>
      <c r="I7" s="13">
        <v>0.12903225806451613</v>
      </c>
      <c r="J7" s="1">
        <f>1-F7</f>
        <v>0.99840832454774719</v>
      </c>
      <c r="K7" s="15">
        <f>G7</f>
        <v>0.87096774193548387</v>
      </c>
      <c r="L7" s="15">
        <f>H7</f>
        <v>1</v>
      </c>
      <c r="M7" s="3">
        <f t="shared" si="0"/>
        <v>0</v>
      </c>
    </row>
    <row r="8" spans="1:19">
      <c r="A8" s="6">
        <v>11</v>
      </c>
      <c r="B8" s="6">
        <v>0</v>
      </c>
      <c r="C8" s="6">
        <v>44</v>
      </c>
      <c r="D8" s="6">
        <v>0</v>
      </c>
      <c r="E8" s="6">
        <v>0</v>
      </c>
      <c r="F8" s="7">
        <v>2.0381565029132199E-3</v>
      </c>
      <c r="G8" s="11">
        <v>0.83870967741935487</v>
      </c>
      <c r="H8" s="11">
        <v>1</v>
      </c>
      <c r="I8" s="13">
        <v>0.16129032258064513</v>
      </c>
      <c r="J8" s="1">
        <f>1-F8</f>
        <v>0.99796184349708683</v>
      </c>
      <c r="K8" s="15">
        <f>G8</f>
        <v>0.83870967741935487</v>
      </c>
      <c r="L8" s="15">
        <f>H8</f>
        <v>1</v>
      </c>
      <c r="M8" s="3">
        <f t="shared" si="0"/>
        <v>0</v>
      </c>
    </row>
    <row r="9" spans="1:19">
      <c r="A9" s="6">
        <v>27</v>
      </c>
      <c r="B9" s="6">
        <v>0</v>
      </c>
      <c r="C9" s="6">
        <v>43</v>
      </c>
      <c r="D9" s="6">
        <v>0</v>
      </c>
      <c r="E9" s="6">
        <v>0</v>
      </c>
      <c r="F9" s="7">
        <v>2.6095526528630299E-3</v>
      </c>
      <c r="G9" s="11">
        <v>0.80645161290322576</v>
      </c>
      <c r="H9" s="11">
        <v>1</v>
      </c>
      <c r="I9" s="13">
        <v>0.19354838709677424</v>
      </c>
      <c r="J9" s="1">
        <f>1-F9</f>
        <v>0.997390447347137</v>
      </c>
      <c r="K9" s="15">
        <f>G9</f>
        <v>0.80645161290322576</v>
      </c>
      <c r="L9" s="15">
        <f>H9</f>
        <v>1</v>
      </c>
      <c r="M9" s="3">
        <f t="shared" si="0"/>
        <v>0</v>
      </c>
      <c r="P9">
        <f>GETPIVOTDATA("classificação",$P$2,"Inadimplente",1,"classificação",0)/GETPIVOTDATA("classificação",$P$2,"Inadimplente",1)</f>
        <v>0.66666666666666663</v>
      </c>
      <c r="Q9">
        <f>GETPIVOTDATA("classificação",$P$2,"Inadimplente",0,"classificação",0)/GETPIVOTDATA("classificação",$P$2,"Inadimplente",0)</f>
        <v>1</v>
      </c>
    </row>
    <row r="10" spans="1:19">
      <c r="A10" s="6">
        <v>9</v>
      </c>
      <c r="B10" s="6">
        <v>0</v>
      </c>
      <c r="C10" s="6">
        <v>39</v>
      </c>
      <c r="D10" s="6">
        <v>0</v>
      </c>
      <c r="E10" s="6">
        <v>0</v>
      </c>
      <c r="F10" s="7">
        <v>6.9977778183520148E-3</v>
      </c>
      <c r="G10" s="11">
        <v>0.77419354838709675</v>
      </c>
      <c r="H10" s="11">
        <v>1</v>
      </c>
      <c r="I10" s="13">
        <v>0.22580645161290325</v>
      </c>
      <c r="J10" s="1">
        <f>1-F10</f>
        <v>0.99300222218164802</v>
      </c>
      <c r="K10" s="15">
        <f>G10</f>
        <v>0.77419354838709675</v>
      </c>
      <c r="L10" s="15">
        <f>H10</f>
        <v>1</v>
      </c>
      <c r="M10" s="3">
        <f t="shared" si="0"/>
        <v>0</v>
      </c>
      <c r="O10" s="3" t="s">
        <v>17</v>
      </c>
      <c r="P10" s="3" t="s">
        <v>22</v>
      </c>
      <c r="Q10" s="3" t="s">
        <v>23</v>
      </c>
    </row>
    <row r="11" spans="1:19">
      <c r="A11" s="6">
        <v>30</v>
      </c>
      <c r="B11" s="6">
        <v>0</v>
      </c>
      <c r="C11" s="6">
        <v>49</v>
      </c>
      <c r="D11" s="6">
        <v>1</v>
      </c>
      <c r="E11" s="6">
        <v>0</v>
      </c>
      <c r="F11" s="7">
        <v>9.9068188548145034E-3</v>
      </c>
      <c r="G11" s="11">
        <v>0.74193548387096775</v>
      </c>
      <c r="H11" s="11">
        <v>1</v>
      </c>
      <c r="I11" s="13">
        <v>0.25806451612903225</v>
      </c>
      <c r="J11" s="1">
        <f>1-F11</f>
        <v>0.99009318114518552</v>
      </c>
      <c r="K11" s="15">
        <f>G11</f>
        <v>0.74193548387096775</v>
      </c>
      <c r="L11" s="15">
        <f>H11</f>
        <v>1</v>
      </c>
      <c r="M11" s="3">
        <f t="shared" si="0"/>
        <v>0</v>
      </c>
      <c r="O11">
        <v>0.05</v>
      </c>
      <c r="P11" s="30">
        <v>0</v>
      </c>
      <c r="Q11" s="30">
        <v>0.61290322580645162</v>
      </c>
    </row>
    <row r="12" spans="1:19">
      <c r="A12" s="6">
        <v>29</v>
      </c>
      <c r="B12" s="6">
        <v>0</v>
      </c>
      <c r="C12" s="6">
        <v>37</v>
      </c>
      <c r="D12" s="6">
        <v>0</v>
      </c>
      <c r="E12" s="6">
        <v>0</v>
      </c>
      <c r="F12" s="7">
        <v>1.1433269853206212E-2</v>
      </c>
      <c r="G12" s="11">
        <v>0.70967741935483875</v>
      </c>
      <c r="H12" s="11">
        <v>1</v>
      </c>
      <c r="I12" s="13">
        <v>0.29032258064516125</v>
      </c>
      <c r="J12" s="1">
        <f>1-F12</f>
        <v>0.98856673014679375</v>
      </c>
      <c r="K12" s="15">
        <f>G12</f>
        <v>0.70967741935483875</v>
      </c>
      <c r="L12" s="15">
        <f>H12</f>
        <v>1</v>
      </c>
      <c r="M12" s="3">
        <f t="shared" si="0"/>
        <v>0</v>
      </c>
      <c r="O12">
        <v>0.1</v>
      </c>
      <c r="P12" s="30">
        <v>0</v>
      </c>
      <c r="Q12" s="30">
        <v>0.70967741935483875</v>
      </c>
    </row>
    <row r="13" spans="1:19">
      <c r="A13" s="6">
        <v>22</v>
      </c>
      <c r="B13" s="6">
        <v>0</v>
      </c>
      <c r="C13" s="6">
        <v>36</v>
      </c>
      <c r="D13" s="6">
        <v>0</v>
      </c>
      <c r="E13" s="6">
        <v>0</v>
      </c>
      <c r="F13" s="7">
        <v>1.460004747670041E-2</v>
      </c>
      <c r="G13" s="11">
        <v>0.67741935483870963</v>
      </c>
      <c r="H13" s="11">
        <v>1</v>
      </c>
      <c r="I13" s="13">
        <v>0.32258064516129037</v>
      </c>
      <c r="J13" s="1">
        <f>1-F13</f>
        <v>0.98539995252329959</v>
      </c>
      <c r="K13" s="15">
        <f>G13</f>
        <v>0.67741935483870963</v>
      </c>
      <c r="L13" s="15">
        <f>H13</f>
        <v>1</v>
      </c>
      <c r="M13" s="3">
        <f t="shared" si="0"/>
        <v>0</v>
      </c>
      <c r="O13">
        <v>0.15</v>
      </c>
      <c r="P13" s="30">
        <v>0.22222222222222221</v>
      </c>
      <c r="Q13" s="30">
        <v>0.70967741935483875</v>
      </c>
    </row>
    <row r="14" spans="1:19">
      <c r="A14" s="6">
        <v>23</v>
      </c>
      <c r="B14" s="6">
        <v>1</v>
      </c>
      <c r="C14" s="6">
        <v>50</v>
      </c>
      <c r="D14" s="6">
        <v>0</v>
      </c>
      <c r="E14" s="6">
        <v>0</v>
      </c>
      <c r="F14" s="7">
        <v>1.6838857130787761E-2</v>
      </c>
      <c r="G14" s="11">
        <v>0.64516129032258063</v>
      </c>
      <c r="H14" s="11">
        <v>1</v>
      </c>
      <c r="I14" s="13">
        <v>0.35483870967741937</v>
      </c>
      <c r="J14" s="1">
        <f>1-F14</f>
        <v>0.98316114286921219</v>
      </c>
      <c r="K14" s="15">
        <f>G14</f>
        <v>0.64516129032258063</v>
      </c>
      <c r="L14" s="15">
        <f>H14</f>
        <v>1</v>
      </c>
      <c r="M14" s="3">
        <f t="shared" si="0"/>
        <v>0</v>
      </c>
      <c r="O14" s="3">
        <v>0.2</v>
      </c>
      <c r="P14" s="30">
        <v>0.22222222222222221</v>
      </c>
      <c r="Q14" s="30">
        <v>0.74193548387096775</v>
      </c>
    </row>
    <row r="15" spans="1:19">
      <c r="A15" s="6">
        <v>37</v>
      </c>
      <c r="B15" s="6">
        <v>0</v>
      </c>
      <c r="C15" s="6">
        <v>34</v>
      </c>
      <c r="D15" s="6">
        <v>0</v>
      </c>
      <c r="E15" s="6">
        <v>0</v>
      </c>
      <c r="F15" s="7">
        <v>2.3738988557133602E-2</v>
      </c>
      <c r="G15" s="11">
        <v>0.61290322580645162</v>
      </c>
      <c r="H15" s="11">
        <v>1</v>
      </c>
      <c r="I15" s="13">
        <v>0.38709677419354838</v>
      </c>
      <c r="J15" s="1">
        <f>1-F15</f>
        <v>0.97626101144286637</v>
      </c>
      <c r="K15" s="15">
        <f>G15</f>
        <v>0.61290322580645162</v>
      </c>
      <c r="L15" s="15">
        <f>H15</f>
        <v>1</v>
      </c>
      <c r="M15" s="3">
        <f t="shared" si="0"/>
        <v>0</v>
      </c>
      <c r="O15" s="3">
        <v>0.25</v>
      </c>
      <c r="P15" s="30">
        <v>0.33333333333333331</v>
      </c>
      <c r="Q15" s="30">
        <v>0.80645161290322576</v>
      </c>
    </row>
    <row r="16" spans="1:19">
      <c r="A16" s="6">
        <v>3</v>
      </c>
      <c r="B16" s="6">
        <v>1</v>
      </c>
      <c r="C16" s="6">
        <v>48</v>
      </c>
      <c r="D16" s="6">
        <v>0</v>
      </c>
      <c r="E16" s="6">
        <v>0</v>
      </c>
      <c r="F16" s="7">
        <v>2.734030536653893E-2</v>
      </c>
      <c r="G16" s="11">
        <v>0.58064516129032262</v>
      </c>
      <c r="H16" s="11">
        <v>1</v>
      </c>
      <c r="I16" s="13">
        <v>0.41935483870967738</v>
      </c>
      <c r="J16" s="1">
        <f>1-F16</f>
        <v>0.97265969463346102</v>
      </c>
      <c r="K16" s="15">
        <f>G16</f>
        <v>0.58064516129032262</v>
      </c>
      <c r="L16" s="15">
        <f>H16</f>
        <v>1</v>
      </c>
      <c r="M16" s="3">
        <f t="shared" si="0"/>
        <v>0</v>
      </c>
      <c r="O16" s="3">
        <v>0.3</v>
      </c>
      <c r="P16" s="30">
        <v>0.33333333333333331</v>
      </c>
      <c r="Q16" s="30">
        <v>0.90322580645161288</v>
      </c>
    </row>
    <row r="17" spans="1:17">
      <c r="A17" s="6">
        <v>20</v>
      </c>
      <c r="B17" s="6">
        <v>0</v>
      </c>
      <c r="C17" s="6">
        <v>32</v>
      </c>
      <c r="D17" s="6">
        <v>0</v>
      </c>
      <c r="E17" s="6">
        <v>0</v>
      </c>
      <c r="F17" s="7">
        <v>3.837569314166546E-2</v>
      </c>
      <c r="G17" s="11">
        <v>0.5161290322580645</v>
      </c>
      <c r="H17" s="11">
        <v>1</v>
      </c>
      <c r="I17" s="13">
        <v>0.4838709677419355</v>
      </c>
      <c r="J17" s="1">
        <f>1-F17</f>
        <v>0.96162430685833455</v>
      </c>
      <c r="K17" s="15">
        <f>G17</f>
        <v>0.5161290322580645</v>
      </c>
      <c r="L17" s="15">
        <f>H17</f>
        <v>1</v>
      </c>
      <c r="M17" s="3">
        <f t="shared" si="0"/>
        <v>0</v>
      </c>
      <c r="O17" s="3">
        <v>0.35</v>
      </c>
      <c r="P17" s="30">
        <v>0.33333333333333331</v>
      </c>
      <c r="Q17" s="30">
        <v>0.93548387096774188</v>
      </c>
    </row>
    <row r="18" spans="1:17">
      <c r="A18" s="6">
        <v>40</v>
      </c>
      <c r="B18" s="6">
        <v>0</v>
      </c>
      <c r="C18" s="6">
        <v>32</v>
      </c>
      <c r="D18" s="6">
        <v>0</v>
      </c>
      <c r="E18" s="6">
        <v>0</v>
      </c>
      <c r="F18" s="7">
        <v>3.837569314166546E-2</v>
      </c>
      <c r="G18" s="11">
        <v>0.54838709677419351</v>
      </c>
      <c r="H18" s="11">
        <v>1</v>
      </c>
      <c r="I18" s="13">
        <v>0.45161290322580649</v>
      </c>
      <c r="J18" s="1">
        <f>1-F18</f>
        <v>0.96162430685833455</v>
      </c>
      <c r="K18" s="15">
        <f>G18</f>
        <v>0.54838709677419351</v>
      </c>
      <c r="L18" s="15">
        <f>H18</f>
        <v>1</v>
      </c>
      <c r="M18" s="3">
        <f t="shared" si="0"/>
        <v>0</v>
      </c>
      <c r="O18" s="3">
        <v>0.4</v>
      </c>
      <c r="P18" s="30">
        <v>0.33333333333333331</v>
      </c>
      <c r="Q18" s="30">
        <v>0.967741935483871</v>
      </c>
    </row>
    <row r="19" spans="1:17">
      <c r="A19" s="6">
        <v>4</v>
      </c>
      <c r="B19" s="6">
        <v>1</v>
      </c>
      <c r="C19" s="6">
        <v>46</v>
      </c>
      <c r="D19" s="6">
        <v>0</v>
      </c>
      <c r="E19" s="6">
        <v>0</v>
      </c>
      <c r="F19" s="7">
        <v>4.4097170414523441E-2</v>
      </c>
      <c r="G19" s="11">
        <v>0.41935483870967744</v>
      </c>
      <c r="H19" s="11">
        <v>1</v>
      </c>
      <c r="I19" s="13">
        <v>0.58064516129032251</v>
      </c>
      <c r="J19" s="1">
        <f>1-F19</f>
        <v>0.95590282958547657</v>
      </c>
      <c r="K19" s="15">
        <f>G19</f>
        <v>0.41935483870967744</v>
      </c>
      <c r="L19" s="15">
        <f>H19</f>
        <v>1</v>
      </c>
      <c r="M19" s="3">
        <f t="shared" si="0"/>
        <v>0</v>
      </c>
      <c r="O19" s="3">
        <v>0.45</v>
      </c>
      <c r="P19" s="30">
        <v>0.33333333333333331</v>
      </c>
      <c r="Q19" s="30">
        <v>0.967741935483871</v>
      </c>
    </row>
    <row r="20" spans="1:17">
      <c r="A20" s="6">
        <v>6</v>
      </c>
      <c r="B20" s="6">
        <v>1</v>
      </c>
      <c r="C20" s="6">
        <v>46</v>
      </c>
      <c r="D20" s="6">
        <v>0</v>
      </c>
      <c r="E20" s="6">
        <v>0</v>
      </c>
      <c r="F20" s="7">
        <v>4.4097170414523441E-2</v>
      </c>
      <c r="G20" s="11">
        <v>0.45161290322580644</v>
      </c>
      <c r="H20" s="11">
        <v>1</v>
      </c>
      <c r="I20" s="13">
        <v>0.54838709677419351</v>
      </c>
      <c r="J20" s="1">
        <f>1-F20</f>
        <v>0.95590282958547657</v>
      </c>
      <c r="K20" s="15">
        <f>G20</f>
        <v>0.45161290322580644</v>
      </c>
      <c r="L20" s="15">
        <f>H20</f>
        <v>1</v>
      </c>
      <c r="M20" s="3">
        <f t="shared" si="0"/>
        <v>0</v>
      </c>
      <c r="O20" s="3">
        <v>0.5</v>
      </c>
      <c r="P20" s="30">
        <v>0.33333333333333331</v>
      </c>
      <c r="Q20" s="30">
        <v>0.967741935483871</v>
      </c>
    </row>
    <row r="21" spans="1:17">
      <c r="A21" s="6">
        <v>35</v>
      </c>
      <c r="B21" s="6">
        <v>1</v>
      </c>
      <c r="C21" s="6">
        <v>46</v>
      </c>
      <c r="D21" s="6">
        <v>0</v>
      </c>
      <c r="E21" s="6">
        <v>0</v>
      </c>
      <c r="F21" s="7">
        <v>4.4097170414523441E-2</v>
      </c>
      <c r="G21" s="11">
        <v>0.4838709677419355</v>
      </c>
      <c r="H21" s="11">
        <v>1</v>
      </c>
      <c r="I21" s="13">
        <v>0.5161290322580645</v>
      </c>
      <c r="J21" s="1">
        <f>1-F21</f>
        <v>0.95590282958547657</v>
      </c>
      <c r="K21" s="15">
        <f>G21</f>
        <v>0.4838709677419355</v>
      </c>
      <c r="L21" s="15">
        <f>H21</f>
        <v>1</v>
      </c>
      <c r="M21" s="3">
        <f t="shared" si="0"/>
        <v>0</v>
      </c>
      <c r="O21" s="3">
        <v>0.55000000000000004</v>
      </c>
      <c r="P21" s="30">
        <v>0.33333333333333331</v>
      </c>
      <c r="Q21" s="30">
        <v>0.967741935483871</v>
      </c>
    </row>
    <row r="22" spans="1:17">
      <c r="A22" s="6">
        <v>28</v>
      </c>
      <c r="B22" s="6">
        <v>0</v>
      </c>
      <c r="C22" s="6">
        <v>42</v>
      </c>
      <c r="D22" s="6">
        <v>1</v>
      </c>
      <c r="E22" s="6">
        <v>0</v>
      </c>
      <c r="F22" s="7">
        <v>5.3624413148173435E-2</v>
      </c>
      <c r="G22" s="11">
        <v>0.38709677419354838</v>
      </c>
      <c r="H22" s="11">
        <v>1</v>
      </c>
      <c r="I22" s="13">
        <v>0.61290322580645162</v>
      </c>
      <c r="J22" s="1">
        <f>1-F22</f>
        <v>0.94637558685182654</v>
      </c>
      <c r="K22" s="15">
        <f>G22</f>
        <v>0.38709677419354838</v>
      </c>
      <c r="L22" s="15">
        <f>H22</f>
        <v>1</v>
      </c>
      <c r="M22" s="3">
        <f t="shared" si="0"/>
        <v>0</v>
      </c>
      <c r="O22" s="3">
        <v>0.6</v>
      </c>
      <c r="P22" s="30">
        <v>0.33333333333333331</v>
      </c>
      <c r="Q22" s="30">
        <v>0.967741935483871</v>
      </c>
    </row>
    <row r="23" spans="1:17">
      <c r="A23" s="6">
        <v>2</v>
      </c>
      <c r="B23" s="6">
        <v>0</v>
      </c>
      <c r="C23" s="6">
        <v>41</v>
      </c>
      <c r="D23" s="6">
        <v>1</v>
      </c>
      <c r="E23" s="6">
        <v>0</v>
      </c>
      <c r="F23" s="7">
        <v>6.7677231076808383E-2</v>
      </c>
      <c r="G23" s="11">
        <v>0.35483870967741937</v>
      </c>
      <c r="H23" s="11">
        <v>1</v>
      </c>
      <c r="I23" s="13">
        <v>0.64516129032258063</v>
      </c>
      <c r="J23" s="1">
        <f>1-F23</f>
        <v>0.93232276892319166</v>
      </c>
      <c r="K23" s="15">
        <f>G23</f>
        <v>0.35483870967741937</v>
      </c>
      <c r="L23" s="15">
        <f>H23</f>
        <v>1</v>
      </c>
      <c r="M23" s="3">
        <f t="shared" si="0"/>
        <v>0</v>
      </c>
      <c r="O23" s="3">
        <v>0.65</v>
      </c>
      <c r="P23" s="30">
        <v>0.33333333333333331</v>
      </c>
      <c r="Q23" s="30">
        <v>0.967741935483871</v>
      </c>
    </row>
    <row r="24" spans="1:17">
      <c r="A24" s="6">
        <v>13</v>
      </c>
      <c r="B24" s="6">
        <v>0</v>
      </c>
      <c r="C24" s="6">
        <v>40</v>
      </c>
      <c r="D24" s="6">
        <v>1</v>
      </c>
      <c r="E24" s="6">
        <v>0</v>
      </c>
      <c r="F24" s="7">
        <v>8.5081648750087627E-2</v>
      </c>
      <c r="G24" s="11">
        <v>0.32258064516129031</v>
      </c>
      <c r="H24" s="11">
        <v>1</v>
      </c>
      <c r="I24" s="13">
        <v>0.67741935483870974</v>
      </c>
      <c r="J24" s="1">
        <f>1-F24</f>
        <v>0.91491835124991239</v>
      </c>
      <c r="K24" s="15">
        <f>G24</f>
        <v>0.32258064516129031</v>
      </c>
      <c r="L24" s="15">
        <f>H24</f>
        <v>1</v>
      </c>
      <c r="M24" s="3">
        <f t="shared" si="0"/>
        <v>0</v>
      </c>
      <c r="O24" s="3">
        <v>0.7</v>
      </c>
      <c r="P24" s="30">
        <v>0.44444444444444442</v>
      </c>
      <c r="Q24" s="30">
        <v>1</v>
      </c>
    </row>
    <row r="25" spans="1:17">
      <c r="A25" s="6">
        <v>15</v>
      </c>
      <c r="B25" s="6">
        <v>0</v>
      </c>
      <c r="C25" s="6">
        <v>38</v>
      </c>
      <c r="D25" s="6">
        <v>1</v>
      </c>
      <c r="E25" s="6">
        <v>1</v>
      </c>
      <c r="F25" s="7">
        <v>0.13241048811626385</v>
      </c>
      <c r="G25" s="11">
        <v>0.29032258064516131</v>
      </c>
      <c r="H25" s="11">
        <v>1</v>
      </c>
      <c r="I25" s="14">
        <v>0.70967741935483875</v>
      </c>
      <c r="J25" s="1">
        <f>1-F25</f>
        <v>0.86758951188373612</v>
      </c>
      <c r="K25" s="15">
        <f>G25</f>
        <v>0.29032258064516131</v>
      </c>
      <c r="L25" s="15">
        <f>H25</f>
        <v>1</v>
      </c>
      <c r="M25" s="3">
        <f t="shared" si="0"/>
        <v>0</v>
      </c>
      <c r="O25" s="3">
        <v>0.75</v>
      </c>
      <c r="P25" s="30">
        <v>0.55500000000000005</v>
      </c>
      <c r="Q25" s="30">
        <v>1</v>
      </c>
    </row>
    <row r="26" spans="1:17">
      <c r="A26" s="6">
        <v>8</v>
      </c>
      <c r="B26" s="6">
        <v>1</v>
      </c>
      <c r="C26" s="6">
        <v>41</v>
      </c>
      <c r="D26" s="6">
        <v>0</v>
      </c>
      <c r="E26" s="6">
        <v>1</v>
      </c>
      <c r="F26" s="7">
        <v>0.13731979471099245</v>
      </c>
      <c r="G26" s="11">
        <v>0.29032258064516131</v>
      </c>
      <c r="H26" s="11">
        <v>0.88888888888888884</v>
      </c>
      <c r="I26" s="13">
        <v>0.59856630824372759</v>
      </c>
      <c r="J26" s="1">
        <f>1-F26</f>
        <v>0.86268020528900757</v>
      </c>
      <c r="K26" s="15">
        <f>G26</f>
        <v>0.29032258064516131</v>
      </c>
      <c r="L26" s="15">
        <f>H26</f>
        <v>0.88888888888888884</v>
      </c>
      <c r="M26" s="3">
        <f t="shared" si="0"/>
        <v>0</v>
      </c>
      <c r="O26" s="3">
        <v>0.8</v>
      </c>
      <c r="P26" s="30">
        <v>0.55500000000000005</v>
      </c>
      <c r="Q26" s="30">
        <v>1</v>
      </c>
    </row>
    <row r="27" spans="1:17">
      <c r="A27" s="6">
        <v>7</v>
      </c>
      <c r="B27" s="6">
        <v>1</v>
      </c>
      <c r="C27" s="6">
        <v>51</v>
      </c>
      <c r="D27" s="6">
        <v>1</v>
      </c>
      <c r="E27" s="6">
        <v>0</v>
      </c>
      <c r="F27" s="7">
        <v>0.18434731141497113</v>
      </c>
      <c r="G27" s="11">
        <v>0.29032258064516131</v>
      </c>
      <c r="H27" s="11">
        <v>0.77777777777777779</v>
      </c>
      <c r="I27" s="13">
        <v>0.48745519713261648</v>
      </c>
      <c r="J27" s="1">
        <f>1-F27</f>
        <v>0.81565268858502882</v>
      </c>
      <c r="K27" s="15">
        <f>G27</f>
        <v>0.29032258064516131</v>
      </c>
      <c r="L27" s="15">
        <f>H27</f>
        <v>0.77777777777777779</v>
      </c>
      <c r="M27" s="3">
        <f t="shared" si="0"/>
        <v>0</v>
      </c>
      <c r="O27" s="3">
        <v>0.85</v>
      </c>
      <c r="P27" s="30">
        <v>0.55500000000000005</v>
      </c>
      <c r="Q27" s="30">
        <v>1</v>
      </c>
    </row>
    <row r="28" spans="1:17">
      <c r="A28" s="6">
        <v>26</v>
      </c>
      <c r="B28" s="6">
        <v>0</v>
      </c>
      <c r="C28" s="6">
        <v>36</v>
      </c>
      <c r="D28" s="6">
        <v>1</v>
      </c>
      <c r="E28" s="6">
        <v>0</v>
      </c>
      <c r="F28" s="7">
        <v>0.20030323636294567</v>
      </c>
      <c r="G28" s="11">
        <v>0.25806451612903225</v>
      </c>
      <c r="H28" s="11">
        <v>0.77777777777777779</v>
      </c>
      <c r="I28" s="13">
        <v>0.51971326164874554</v>
      </c>
      <c r="J28" s="1">
        <f>1-F28</f>
        <v>0.79969676363705433</v>
      </c>
      <c r="K28" s="15">
        <f>G28</f>
        <v>0.25806451612903225</v>
      </c>
      <c r="L28" s="15">
        <f>H28</f>
        <v>0.77777777777777779</v>
      </c>
      <c r="M28" s="3">
        <f t="shared" si="0"/>
        <v>0</v>
      </c>
      <c r="O28" s="3">
        <v>0.9</v>
      </c>
      <c r="P28" s="30">
        <v>0.55500000000000005</v>
      </c>
      <c r="Q28" s="30">
        <v>1</v>
      </c>
    </row>
    <row r="29" spans="1:17">
      <c r="A29" s="6">
        <v>14</v>
      </c>
      <c r="B29" s="6">
        <v>1</v>
      </c>
      <c r="C29" s="6">
        <v>39</v>
      </c>
      <c r="D29" s="6">
        <v>0</v>
      </c>
      <c r="E29" s="6">
        <v>1</v>
      </c>
      <c r="F29" s="7">
        <v>0.2071288003911563</v>
      </c>
      <c r="G29" s="11">
        <v>0.19354838709677419</v>
      </c>
      <c r="H29" s="11">
        <v>0.77777777777777779</v>
      </c>
      <c r="I29" s="13">
        <v>0.58422939068100366</v>
      </c>
      <c r="J29" s="1">
        <f>1-F29</f>
        <v>0.79287119960884367</v>
      </c>
      <c r="K29" s="15">
        <f>G29</f>
        <v>0.19354838709677419</v>
      </c>
      <c r="L29" s="15">
        <f>H29</f>
        <v>0.77777777777777779</v>
      </c>
      <c r="M29" s="3">
        <f t="shared" si="0"/>
        <v>0</v>
      </c>
      <c r="O29" s="3">
        <v>0.95</v>
      </c>
      <c r="P29">
        <v>0.66669999999999996</v>
      </c>
      <c r="Q29" s="30">
        <v>1</v>
      </c>
    </row>
    <row r="30" spans="1:17">
      <c r="A30" s="6">
        <v>25</v>
      </c>
      <c r="B30" s="6">
        <v>1</v>
      </c>
      <c r="C30" s="6">
        <v>39</v>
      </c>
      <c r="D30" s="6">
        <v>0</v>
      </c>
      <c r="E30" s="6">
        <v>0</v>
      </c>
      <c r="F30" s="7">
        <v>0.2071288003911563</v>
      </c>
      <c r="G30" s="11">
        <v>0.22580645161290322</v>
      </c>
      <c r="H30" s="11">
        <v>0.77777777777777779</v>
      </c>
      <c r="I30" s="13">
        <v>0.55197132616487454</v>
      </c>
      <c r="J30" s="1">
        <f>1-F30</f>
        <v>0.79287119960884367</v>
      </c>
      <c r="K30" s="15">
        <f>G30</f>
        <v>0.22580645161290322</v>
      </c>
      <c r="L30" s="15">
        <f>H30</f>
        <v>0.77777777777777779</v>
      </c>
      <c r="M30" s="3">
        <f t="shared" si="0"/>
        <v>0</v>
      </c>
      <c r="O30" s="3"/>
    </row>
    <row r="31" spans="1:17">
      <c r="A31" s="6">
        <v>16</v>
      </c>
      <c r="B31" s="6">
        <v>1</v>
      </c>
      <c r="C31" s="6">
        <v>38</v>
      </c>
      <c r="D31" s="6">
        <v>0</v>
      </c>
      <c r="E31" s="6">
        <v>0</v>
      </c>
      <c r="F31" s="7">
        <v>0.25075039990734427</v>
      </c>
      <c r="G31" s="11">
        <v>0.19354838709677419</v>
      </c>
      <c r="H31" s="11">
        <v>0.66666666666666663</v>
      </c>
      <c r="I31" s="13">
        <v>0.47311827956989244</v>
      </c>
      <c r="J31" s="1">
        <f>1-F31</f>
        <v>0.74924960009265573</v>
      </c>
      <c r="K31" s="15">
        <f>G31</f>
        <v>0.19354838709677419</v>
      </c>
      <c r="L31" s="15">
        <f>H31</f>
        <v>0.66666666666666663</v>
      </c>
      <c r="M31" s="3">
        <f t="shared" si="0"/>
        <v>0</v>
      </c>
      <c r="O31" s="3"/>
    </row>
    <row r="32" spans="1:17">
      <c r="A32" s="6">
        <v>12</v>
      </c>
      <c r="B32" s="6">
        <v>0</v>
      </c>
      <c r="C32" s="6">
        <v>23</v>
      </c>
      <c r="D32" s="6">
        <v>0</v>
      </c>
      <c r="E32" s="6">
        <v>0</v>
      </c>
      <c r="F32" s="7">
        <v>0.27054736290398401</v>
      </c>
      <c r="G32" s="11">
        <v>0.16129032258064516</v>
      </c>
      <c r="H32" s="11">
        <v>0.66666666666666663</v>
      </c>
      <c r="I32" s="13">
        <v>0.5053763440860215</v>
      </c>
      <c r="J32" s="1">
        <f>1-F32</f>
        <v>0.72945263709601593</v>
      </c>
      <c r="K32" s="15">
        <f>G32</f>
        <v>0.16129032258064516</v>
      </c>
      <c r="L32" s="15">
        <f>H32</f>
        <v>0.66666666666666663</v>
      </c>
      <c r="M32" s="3">
        <f t="shared" si="0"/>
        <v>0</v>
      </c>
      <c r="O32" s="3"/>
    </row>
    <row r="33" spans="1:15">
      <c r="A33" s="6">
        <v>34</v>
      </c>
      <c r="B33" s="6">
        <v>0</v>
      </c>
      <c r="C33" s="6">
        <v>34</v>
      </c>
      <c r="D33" s="6">
        <v>1</v>
      </c>
      <c r="E33" s="6">
        <v>0</v>
      </c>
      <c r="F33" s="7">
        <v>0.29131859186799902</v>
      </c>
      <c r="G33" s="11">
        <v>0.12903225806451613</v>
      </c>
      <c r="H33" s="11">
        <v>0.66666666666666663</v>
      </c>
      <c r="I33" s="13">
        <v>0.5376344086021505</v>
      </c>
      <c r="J33" s="1">
        <f>1-F33</f>
        <v>0.70868140813200098</v>
      </c>
      <c r="K33" s="15">
        <f>G33</f>
        <v>0.12903225806451613</v>
      </c>
      <c r="L33" s="15">
        <f>H33</f>
        <v>0.66666666666666663</v>
      </c>
      <c r="M33" s="3">
        <f t="shared" si="0"/>
        <v>0</v>
      </c>
      <c r="O33" s="3"/>
    </row>
    <row r="34" spans="1:15">
      <c r="A34" s="6">
        <v>38</v>
      </c>
      <c r="B34" s="6">
        <v>1</v>
      </c>
      <c r="C34" s="6">
        <v>37</v>
      </c>
      <c r="D34" s="6">
        <v>0</v>
      </c>
      <c r="E34" s="6">
        <v>0</v>
      </c>
      <c r="F34" s="7">
        <v>0.30008180593752065</v>
      </c>
      <c r="G34" s="11">
        <v>9.6774193548387094E-2</v>
      </c>
      <c r="H34" s="11">
        <v>0.66666666666666663</v>
      </c>
      <c r="I34" s="13">
        <v>0.56989247311827951</v>
      </c>
      <c r="J34" s="1">
        <f>1-F34</f>
        <v>0.69991819406247935</v>
      </c>
      <c r="K34" s="15">
        <f>G34</f>
        <v>9.6774193548387094E-2</v>
      </c>
      <c r="L34" s="15">
        <f>H34</f>
        <v>0.66666666666666663</v>
      </c>
      <c r="M34" s="3">
        <f t="shared" si="0"/>
        <v>0</v>
      </c>
      <c r="O34" s="3"/>
    </row>
    <row r="35" spans="1:15">
      <c r="A35" s="6">
        <v>33</v>
      </c>
      <c r="B35" s="6">
        <v>1</v>
      </c>
      <c r="C35" s="6">
        <v>47</v>
      </c>
      <c r="D35" s="6">
        <v>1</v>
      </c>
      <c r="E35" s="6">
        <v>0</v>
      </c>
      <c r="F35" s="7">
        <v>0.37840026183350628</v>
      </c>
      <c r="G35" s="11">
        <v>6.4516129032258063E-2</v>
      </c>
      <c r="H35" s="11">
        <v>0.66666666666666663</v>
      </c>
      <c r="I35" s="13">
        <v>0.60215053763440851</v>
      </c>
      <c r="J35" s="1">
        <f>1-F35</f>
        <v>0.62159973816649372</v>
      </c>
      <c r="K35" s="15">
        <f>G35</f>
        <v>6.4516129032258063E-2</v>
      </c>
      <c r="L35" s="15">
        <f>H35</f>
        <v>0.66666666666666663</v>
      </c>
      <c r="M35" s="3">
        <f t="shared" si="0"/>
        <v>0</v>
      </c>
      <c r="O35" s="3"/>
    </row>
    <row r="36" spans="1:15">
      <c r="A36" s="6">
        <v>5</v>
      </c>
      <c r="B36" s="6">
        <v>1</v>
      </c>
      <c r="C36" s="6">
        <v>31</v>
      </c>
      <c r="D36" s="6">
        <v>0</v>
      </c>
      <c r="E36" s="6">
        <v>1</v>
      </c>
      <c r="F36" s="7">
        <v>0.65460120685217094</v>
      </c>
      <c r="G36" s="11">
        <v>0</v>
      </c>
      <c r="H36" s="11">
        <v>0.66666666666666663</v>
      </c>
      <c r="I36" s="13">
        <v>0.66666666666666663</v>
      </c>
      <c r="J36" s="1">
        <f>1-F36</f>
        <v>0.34539879314782906</v>
      </c>
      <c r="K36" s="15">
        <f>G36</f>
        <v>0</v>
      </c>
      <c r="L36" s="15">
        <f>H36</f>
        <v>0.66666666666666663</v>
      </c>
      <c r="M36" s="3">
        <f t="shared" si="0"/>
        <v>0</v>
      </c>
      <c r="O36" s="3"/>
    </row>
    <row r="37" spans="1:15">
      <c r="A37" s="6">
        <v>32</v>
      </c>
      <c r="B37" s="6">
        <v>1</v>
      </c>
      <c r="C37" s="6">
        <v>31</v>
      </c>
      <c r="D37" s="6">
        <v>0</v>
      </c>
      <c r="E37" s="6">
        <v>0</v>
      </c>
      <c r="F37" s="7">
        <v>0.65460120685217094</v>
      </c>
      <c r="G37" s="11">
        <v>3.2258064516129031E-2</v>
      </c>
      <c r="H37" s="11">
        <v>0.66666666666666663</v>
      </c>
      <c r="I37" s="13">
        <v>0.63440860215053763</v>
      </c>
      <c r="J37" s="1">
        <f>1-F37</f>
        <v>0.34539879314782906</v>
      </c>
      <c r="K37" s="15">
        <f>G37</f>
        <v>3.2258064516129031E-2</v>
      </c>
      <c r="L37" s="15">
        <f>H37</f>
        <v>0.66666666666666663</v>
      </c>
      <c r="M37" s="3">
        <f t="shared" si="0"/>
        <v>0</v>
      </c>
      <c r="O37" s="3"/>
    </row>
    <row r="38" spans="1:15">
      <c r="A38" s="6">
        <v>31</v>
      </c>
      <c r="B38" s="6">
        <v>0</v>
      </c>
      <c r="C38" s="6">
        <v>26</v>
      </c>
      <c r="D38" s="6">
        <v>1</v>
      </c>
      <c r="E38" s="6">
        <v>1</v>
      </c>
      <c r="F38" s="7">
        <v>0.74888189307729036</v>
      </c>
      <c r="G38" s="11">
        <v>0</v>
      </c>
      <c r="H38" s="11">
        <v>0.55555555555555558</v>
      </c>
      <c r="I38" s="13">
        <v>0.55555555555555558</v>
      </c>
      <c r="J38" s="1">
        <f>1-F38</f>
        <v>0.25111810692270964</v>
      </c>
      <c r="K38" s="15">
        <f>G38</f>
        <v>0</v>
      </c>
      <c r="L38" s="15">
        <f>H38</f>
        <v>0.55555555555555558</v>
      </c>
      <c r="M38" s="3">
        <f t="shared" si="0"/>
        <v>0</v>
      </c>
      <c r="O38" s="3"/>
    </row>
    <row r="39" spans="1:15">
      <c r="A39" s="6">
        <v>10</v>
      </c>
      <c r="B39" s="6">
        <v>1</v>
      </c>
      <c r="C39" s="6">
        <v>35</v>
      </c>
      <c r="D39" s="6">
        <v>1</v>
      </c>
      <c r="E39" s="6">
        <v>1</v>
      </c>
      <c r="F39" s="7">
        <v>0.9224511168460312</v>
      </c>
      <c r="G39" s="11">
        <v>0</v>
      </c>
      <c r="H39" s="11">
        <v>0.44444444444444442</v>
      </c>
      <c r="I39" s="13">
        <v>0.44444444444444442</v>
      </c>
      <c r="J39" s="1">
        <f>1-F39</f>
        <v>7.7548883153968795E-2</v>
      </c>
      <c r="K39" s="15">
        <f>G39</f>
        <v>0</v>
      </c>
      <c r="L39" s="15">
        <f>H39</f>
        <v>0.44444444444444442</v>
      </c>
      <c r="M39" s="3">
        <f t="shared" si="0"/>
        <v>0</v>
      </c>
      <c r="O39" s="3"/>
    </row>
    <row r="40" spans="1:15">
      <c r="A40" s="6">
        <v>17</v>
      </c>
      <c r="B40" s="6">
        <v>1</v>
      </c>
      <c r="C40" s="6">
        <v>33</v>
      </c>
      <c r="D40" s="6">
        <v>1</v>
      </c>
      <c r="E40" s="6">
        <v>1</v>
      </c>
      <c r="F40" s="7">
        <v>0.95127159663657757</v>
      </c>
      <c r="G40" s="11">
        <v>0</v>
      </c>
      <c r="H40" s="11">
        <v>0.33333333333333331</v>
      </c>
      <c r="I40" s="13">
        <v>0.33333333333333331</v>
      </c>
      <c r="J40" s="1">
        <f>1-F40</f>
        <v>4.8728403363422435E-2</v>
      </c>
      <c r="K40" s="15">
        <f>G40</f>
        <v>0</v>
      </c>
      <c r="L40" s="15">
        <f>H40</f>
        <v>0.33333333333333331</v>
      </c>
      <c r="M40" s="3">
        <f t="shared" si="0"/>
        <v>1</v>
      </c>
      <c r="O40" s="3"/>
    </row>
    <row r="41" spans="1:15">
      <c r="A41" s="6">
        <v>39</v>
      </c>
      <c r="B41" s="6">
        <v>1</v>
      </c>
      <c r="C41" s="6">
        <v>29</v>
      </c>
      <c r="D41" s="6">
        <v>1</v>
      </c>
      <c r="E41" s="6">
        <v>1</v>
      </c>
      <c r="F41" s="7">
        <v>0.98133677648778217</v>
      </c>
      <c r="G41" s="11">
        <v>0</v>
      </c>
      <c r="H41" s="11">
        <v>0.22222222222222221</v>
      </c>
      <c r="I41" s="13">
        <v>0.22222222222222221</v>
      </c>
      <c r="J41" s="1">
        <f>1-F41</f>
        <v>1.866322351221783E-2</v>
      </c>
      <c r="K41" s="15">
        <f>G41</f>
        <v>0</v>
      </c>
      <c r="L41" s="15">
        <f>H41</f>
        <v>0.22222222222222221</v>
      </c>
      <c r="M41" s="3">
        <f t="shared" si="0"/>
        <v>1</v>
      </c>
      <c r="O41" s="3"/>
    </row>
    <row r="42" spans="1:15">
      <c r="A42" s="6">
        <v>1</v>
      </c>
      <c r="B42" s="6">
        <v>1</v>
      </c>
      <c r="C42" s="6">
        <v>25</v>
      </c>
      <c r="D42" s="6">
        <v>1</v>
      </c>
      <c r="E42" s="6">
        <v>1</v>
      </c>
      <c r="F42" s="7">
        <v>0.992988615526748</v>
      </c>
      <c r="G42" s="11">
        <v>0</v>
      </c>
      <c r="H42" s="11">
        <v>0.1111111111111111</v>
      </c>
      <c r="I42" s="13">
        <v>0.1111111111111111</v>
      </c>
      <c r="J42" s="1">
        <f>1-F42</f>
        <v>7.0113844732520025E-3</v>
      </c>
      <c r="K42" s="15">
        <f>G42</f>
        <v>0</v>
      </c>
      <c r="L42" s="15">
        <f>H42</f>
        <v>0.1111111111111111</v>
      </c>
      <c r="M42" s="3">
        <f t="shared" si="0"/>
        <v>1</v>
      </c>
      <c r="O42" s="3"/>
    </row>
    <row r="43" spans="1:15">
      <c r="O43" s="3"/>
    </row>
    <row r="44" spans="1:15">
      <c r="A44" s="3"/>
      <c r="B44" s="3"/>
      <c r="C44" s="3"/>
      <c r="D44" s="9" t="s">
        <v>9</v>
      </c>
      <c r="E44" s="8">
        <v>31</v>
      </c>
      <c r="F44" s="3"/>
      <c r="G44" s="3"/>
      <c r="H44" s="3"/>
      <c r="I44" s="3"/>
      <c r="O44" s="3"/>
    </row>
    <row r="45" spans="1:15" ht="15" customHeight="1">
      <c r="A45" s="3"/>
      <c r="B45" s="3"/>
      <c r="C45" s="3"/>
      <c r="D45" s="9" t="s">
        <v>10</v>
      </c>
      <c r="E45" s="10">
        <v>9</v>
      </c>
      <c r="F45" s="3"/>
      <c r="G45" s="3"/>
      <c r="H45" s="16"/>
      <c r="I45" s="17"/>
      <c r="J45" s="22" t="s">
        <v>12</v>
      </c>
      <c r="K45" s="23"/>
      <c r="L45" s="18"/>
      <c r="O45" s="3"/>
    </row>
    <row r="46" spans="1:15">
      <c r="H46" s="17"/>
      <c r="I46" s="19"/>
      <c r="J46" s="19">
        <v>0</v>
      </c>
      <c r="K46" s="19">
        <v>1</v>
      </c>
      <c r="L46" s="19" t="s">
        <v>13</v>
      </c>
      <c r="O46" s="3"/>
    </row>
    <row r="47" spans="1:15">
      <c r="H47" s="24" t="s">
        <v>14</v>
      </c>
      <c r="I47" s="19">
        <v>0</v>
      </c>
      <c r="J47" s="19">
        <v>30</v>
      </c>
      <c r="K47" s="19">
        <v>1</v>
      </c>
      <c r="L47" s="20">
        <v>31</v>
      </c>
      <c r="O47" s="3"/>
    </row>
    <row r="48" spans="1:15">
      <c r="H48" s="25"/>
      <c r="I48" s="19">
        <v>1</v>
      </c>
      <c r="J48" s="19">
        <v>3</v>
      </c>
      <c r="K48" s="19">
        <v>6</v>
      </c>
      <c r="L48" s="20">
        <v>9</v>
      </c>
    </row>
    <row r="49" spans="8:12">
      <c r="H49" s="21"/>
      <c r="I49" s="19" t="s">
        <v>13</v>
      </c>
      <c r="J49" s="26">
        <v>33</v>
      </c>
      <c r="K49" s="26">
        <v>7</v>
      </c>
      <c r="L49" s="26">
        <v>40</v>
      </c>
    </row>
  </sheetData>
  <sortState ref="A3:M42">
    <sortCondition ref="F3:F42"/>
  </sortState>
  <mergeCells count="2">
    <mergeCell ref="J45:K45"/>
    <mergeCell ref="H47:H48"/>
  </mergeCell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</cp:lastModifiedBy>
  <dcterms:created xsi:type="dcterms:W3CDTF">2011-06-02T03:55:08Z</dcterms:created>
  <dcterms:modified xsi:type="dcterms:W3CDTF">2011-06-02T04:35:13Z</dcterms:modified>
</cp:coreProperties>
</file>