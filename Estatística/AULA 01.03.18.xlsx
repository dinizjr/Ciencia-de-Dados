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Diniz\Documents\Ciência de Dados\"/>
    </mc:Choice>
  </mc:AlternateContent>
  <bookViews>
    <workbookView xWindow="0" yWindow="0" windowWidth="20490" windowHeight="7530" firstSheet="4" activeTab="9"/>
  </bookViews>
  <sheets>
    <sheet name="COLETA 1_1" sheetId="1" r:id="rId1"/>
    <sheet name="COLETA 1_2" sheetId="2" r:id="rId2"/>
    <sheet name="COLETA 2_1" sheetId="4" r:id="rId3"/>
    <sheet name="COLETA 2_2" sheetId="5" r:id="rId4"/>
    <sheet name="EXERCICIO" sheetId="6" r:id="rId5"/>
    <sheet name="CORRELAÇÃO" sheetId="7" r:id="rId6"/>
    <sheet name="Sheet5" sheetId="12" r:id="rId7"/>
    <sheet name="Sheet2" sheetId="9" r:id="rId8"/>
    <sheet name="Sheet4" sheetId="15" r:id="rId9"/>
    <sheet name="Sheet1" sheetId="13" r:id="rId10"/>
  </sheets>
  <definedNames>
    <definedName name="solver_eng" localSheetId="9" hidden="1">1</definedName>
    <definedName name="solver_neg" localSheetId="9" hidden="1">1</definedName>
    <definedName name="solver_num" localSheetId="9" hidden="1">0</definedName>
    <definedName name="solver_opt" localSheetId="9" hidden="1">Sheet1!$D$1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3" l="1"/>
  <c r="E4" i="13"/>
  <c r="E5" i="13"/>
  <c r="E6" i="13"/>
  <c r="E7" i="13"/>
  <c r="E8" i="13"/>
  <c r="E9" i="13"/>
  <c r="E10" i="13"/>
  <c r="E11" i="13"/>
  <c r="E2" i="13"/>
  <c r="G16" i="9" l="1"/>
  <c r="E5" i="9" l="1"/>
  <c r="E6" i="9" s="1"/>
  <c r="B16" i="12"/>
  <c r="E4" i="9"/>
  <c r="E3" i="9"/>
  <c r="E2" i="9"/>
  <c r="E16" i="12"/>
  <c r="E7" i="6" l="1"/>
  <c r="F4" i="7" l="1"/>
  <c r="C21" i="7"/>
  <c r="C22" i="7" s="1"/>
  <c r="C23" i="7" s="1"/>
  <c r="B18" i="7"/>
  <c r="C20" i="7"/>
  <c r="C19" i="7"/>
  <c r="C18" i="7"/>
  <c r="B21" i="7"/>
  <c r="B22" i="7" s="1"/>
  <c r="B20" i="7"/>
  <c r="B19" i="7"/>
  <c r="D10" i="6" l="1"/>
  <c r="F10" i="6"/>
  <c r="B10" i="6"/>
  <c r="E10" i="6"/>
  <c r="C7" i="6"/>
  <c r="C10" i="6" s="1"/>
  <c r="B16" i="5"/>
  <c r="B28" i="1" l="1"/>
  <c r="B27" i="1"/>
  <c r="B26" i="1"/>
  <c r="B25" i="1"/>
  <c r="B24" i="1"/>
  <c r="B29" i="1" l="1"/>
  <c r="C29" i="1"/>
  <c r="B23" i="7" l="1"/>
</calcChain>
</file>

<file path=xl/sharedStrings.xml><?xml version="1.0" encoding="utf-8"?>
<sst xmlns="http://schemas.openxmlformats.org/spreadsheetml/2006/main" count="147" uniqueCount="73">
  <si>
    <t>COLETA 1</t>
  </si>
  <si>
    <t>MEDIA</t>
  </si>
  <si>
    <t>MEDIANA</t>
  </si>
  <si>
    <t>MODA</t>
  </si>
  <si>
    <t>DESVIO PADRAO POPULACIONAL</t>
  </si>
  <si>
    <t>DESVIO PADRAO AMOSTRAL</t>
  </si>
  <si>
    <t>COEFICIENTE DE VARIAÇÃO(CV)</t>
  </si>
  <si>
    <t>BAIXA CONFIABILIDADE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</si>
  <si>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</si>
  <si>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</si>
  <si>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</si>
  <si>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</si>
  <si>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</si>
  <si>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</si>
  <si>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</si>
  <si>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</si>
  <si>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</si>
  <si>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</si>
  <si>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</si>
  <si>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</si>
  <si>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</si>
  <si>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TENDENCIA DA CURVA</t>
  </si>
  <si>
    <t>TENDENCIA DA CURVA ESTAR MAIS PRA ESQUERDA OU DIREITA</t>
  </si>
  <si>
    <t>Nível de confiança(95,0%)</t>
  </si>
  <si>
    <t>COLETA 2</t>
  </si>
  <si>
    <t>CV</t>
  </si>
  <si>
    <t>A</t>
  </si>
  <si>
    <t>B</t>
  </si>
  <si>
    <t>C</t>
  </si>
  <si>
    <t>D</t>
  </si>
  <si>
    <t>E</t>
  </si>
  <si>
    <t>M</t>
  </si>
  <si>
    <t>MD</t>
  </si>
  <si>
    <t>MO</t>
  </si>
  <si>
    <t>DP</t>
  </si>
  <si>
    <t>EM UMA PESQUISA REALIZADA COM 5 INSTITUTOS DIFERENTES, ANALISE QUAL ESTUDO MERECE MAIS APROVAÇÃO PELOS DEMAIS.</t>
  </si>
  <si>
    <t xml:space="preserve">EMPRESA F14 </t>
  </si>
  <si>
    <t>EM TONELADAS ALUMINIO</t>
  </si>
  <si>
    <t>PRODUÇÃO</t>
  </si>
  <si>
    <t>REFUGO</t>
  </si>
  <si>
    <t>PERIODO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</si>
  <si>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</si>
  <si>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</si>
  <si>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</si>
  <si>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</si>
  <si>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</si>
  <si>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</si>
  <si>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</si>
  <si>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</si>
  <si>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</si>
  <si>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</si>
  <si>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</si>
  <si>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</si>
  <si>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DP(DESVIO PADRÃO)</t>
  </si>
  <si>
    <t>CV(COEFICIENTE DE VARIAÇÃO)</t>
  </si>
  <si>
    <t>BAIXA DISPERSÇÃO,ALTA CONFIABILIDADE</t>
  </si>
  <si>
    <t>CORRELAÇÃO</t>
  </si>
  <si>
    <t>O REFUGO RESPONDEM 90% DO PRODUZIDO</t>
  </si>
  <si>
    <t>VARIÂNCIA</t>
  </si>
  <si>
    <t>A EMPRESA D, POIS  A DISPERÇÃO E BAIXA E A CONFIABILIDADE É ALTA</t>
  </si>
  <si>
    <t>QUER DIZER QUE TEM 90% DE CHANCE DE NO PRÓXIMO MÊS CONTINUAR NA MESMA PROPORÇÃO</t>
  </si>
  <si>
    <t>COLETA</t>
  </si>
  <si>
    <t>MÉDIA</t>
  </si>
  <si>
    <t>A DISPERSÃO É ALTA, FAZENDO COM QUE A CONFIANÇA SEJA BAIXA</t>
  </si>
  <si>
    <t>at = 30</t>
  </si>
  <si>
    <t>ik = 3</t>
  </si>
  <si>
    <t>CLASSE</t>
  </si>
  <si>
    <t>PM(x)</t>
  </si>
  <si>
    <t>Bin</t>
  </si>
  <si>
    <t>More</t>
  </si>
  <si>
    <t>Frequency</t>
  </si>
  <si>
    <t>FREQ (y)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</si>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</sst>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0" xfId="0" applyFont="1" applyFill="1"/>
    <xf numFmtId="9" fontId="0" fillId="4" borderId="1" xfId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0" borderId="0" xfId="0" applyFont="1"/>
    <xf numFmtId="165" fontId="0" fillId="0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COLETA 1</a:t>
            </a:r>
          </a:p>
        </c:rich>
      </c:tx>
      <c:layout>
        <c:manualLayout>
          <c:xMode val="edge"/>
          <c:yMode val="edge"/>
          <c:x val="0.413229002624671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'COLETA 1_1'!$A$2:$A$21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3-4BB4-8BCA-9416FFA98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27168"/>
        <c:axId val="196524032"/>
      </c:scatterChart>
      <c:valAx>
        <c:axId val="19652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524032"/>
        <c:crosses val="autoZero"/>
        <c:crossBetween val="midCat"/>
      </c:valAx>
      <c:valAx>
        <c:axId val="1965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52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COLETA 1</a:t>
            </a:r>
          </a:p>
        </c:rich>
      </c:tx>
      <c:layout>
        <c:manualLayout>
          <c:xMode val="edge"/>
          <c:yMode val="edge"/>
          <c:x val="0.4465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5782407407407409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'COLETA 1_1'!$A$2:$A$21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F-44F2-8522-C6D99EFEFA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6525600"/>
        <c:axId val="196526384"/>
      </c:barChart>
      <c:catAx>
        <c:axId val="19652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526384"/>
        <c:crosses val="autoZero"/>
        <c:auto val="1"/>
        <c:lblAlgn val="ctr"/>
        <c:lblOffset val="100"/>
        <c:noMultiLvlLbl val="0"/>
      </c:catAx>
      <c:valAx>
        <c:axId val="196526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5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'COLETA 2_1'!$A$1</c:f>
              <c:strCache>
                <c:ptCount val="1"/>
                <c:pt idx="0">
                  <c:v>COLETA 2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'COLETA 2_1'!$A$2:$A$30</c:f>
              <c:numCache>
                <c:formatCode>General</c:formatCode>
                <c:ptCount val="29"/>
                <c:pt idx="0">
                  <c:v>20</c:v>
                </c:pt>
                <c:pt idx="1">
                  <c:v>21</c:v>
                </c:pt>
                <c:pt idx="2">
                  <c:v>25</c:v>
                </c:pt>
                <c:pt idx="3">
                  <c:v>29</c:v>
                </c:pt>
                <c:pt idx="4">
                  <c:v>32</c:v>
                </c:pt>
                <c:pt idx="5">
                  <c:v>35</c:v>
                </c:pt>
                <c:pt idx="6">
                  <c:v>36</c:v>
                </c:pt>
                <c:pt idx="7">
                  <c:v>36</c:v>
                </c:pt>
                <c:pt idx="8">
                  <c:v>38</c:v>
                </c:pt>
                <c:pt idx="9">
                  <c:v>32</c:v>
                </c:pt>
                <c:pt idx="10">
                  <c:v>31</c:v>
                </c:pt>
                <c:pt idx="11">
                  <c:v>30</c:v>
                </c:pt>
                <c:pt idx="12">
                  <c:v>25</c:v>
                </c:pt>
                <c:pt idx="13">
                  <c:v>28</c:v>
                </c:pt>
                <c:pt idx="14">
                  <c:v>29</c:v>
                </c:pt>
                <c:pt idx="15">
                  <c:v>22</c:v>
                </c:pt>
                <c:pt idx="16">
                  <c:v>21</c:v>
                </c:pt>
                <c:pt idx="17">
                  <c:v>14</c:v>
                </c:pt>
                <c:pt idx="18">
                  <c:v>13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26</c:v>
                </c:pt>
                <c:pt idx="23">
                  <c:v>28</c:v>
                </c:pt>
                <c:pt idx="24">
                  <c:v>31</c:v>
                </c:pt>
                <c:pt idx="25">
                  <c:v>35</c:v>
                </c:pt>
                <c:pt idx="26">
                  <c:v>39</c:v>
                </c:pt>
                <c:pt idx="27">
                  <c:v>41</c:v>
                </c:pt>
                <c:pt idx="28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E-45FF-9E61-97FCDF5A0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877952"/>
        <c:axId val="400878344"/>
      </c:scatterChart>
      <c:valAx>
        <c:axId val="4008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78344"/>
        <c:crosses val="autoZero"/>
        <c:crossBetween val="midCat"/>
      </c:valAx>
      <c:valAx>
        <c:axId val="40087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7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'COLETA 2_1'!$A$1</c:f>
              <c:strCache>
                <c:ptCount val="1"/>
                <c:pt idx="0">
                  <c:v>COLETA 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'COLETA 2_1'!$A$2:$A$30</c:f>
              <c:numCache>
                <c:formatCode>General</c:formatCode>
                <c:ptCount val="29"/>
                <c:pt idx="0">
                  <c:v>20</c:v>
                </c:pt>
                <c:pt idx="1">
                  <c:v>21</c:v>
                </c:pt>
                <c:pt idx="2">
                  <c:v>25</c:v>
                </c:pt>
                <c:pt idx="3">
                  <c:v>29</c:v>
                </c:pt>
                <c:pt idx="4">
                  <c:v>32</c:v>
                </c:pt>
                <c:pt idx="5">
                  <c:v>35</c:v>
                </c:pt>
                <c:pt idx="6">
                  <c:v>36</c:v>
                </c:pt>
                <c:pt idx="7">
                  <c:v>36</c:v>
                </c:pt>
                <c:pt idx="8">
                  <c:v>38</c:v>
                </c:pt>
                <c:pt idx="9">
                  <c:v>32</c:v>
                </c:pt>
                <c:pt idx="10">
                  <c:v>31</c:v>
                </c:pt>
                <c:pt idx="11">
                  <c:v>30</c:v>
                </c:pt>
                <c:pt idx="12">
                  <c:v>25</c:v>
                </c:pt>
                <c:pt idx="13">
                  <c:v>28</c:v>
                </c:pt>
                <c:pt idx="14">
                  <c:v>29</c:v>
                </c:pt>
                <c:pt idx="15">
                  <c:v>22</c:v>
                </c:pt>
                <c:pt idx="16">
                  <c:v>21</c:v>
                </c:pt>
                <c:pt idx="17">
                  <c:v>14</c:v>
                </c:pt>
                <c:pt idx="18">
                  <c:v>13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26</c:v>
                </c:pt>
                <c:pt idx="23">
                  <c:v>28</c:v>
                </c:pt>
                <c:pt idx="24">
                  <c:v>31</c:v>
                </c:pt>
                <c:pt idx="25">
                  <c:v>35</c:v>
                </c:pt>
                <c:pt idx="26">
                  <c:v>39</c:v>
                </c:pt>
                <c:pt idx="27">
                  <c:v>41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C-4F46-908C-B9D6367F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400878736"/>
        <c:axId val="400875208"/>
      </c:barChart>
      <c:catAx>
        <c:axId val="400878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75208"/>
        <c:crosses val="autoZero"/>
        <c:auto val="1"/>
        <c:lblAlgn val="ctr"/>
        <c:lblOffset val="100"/>
        <c:noMultiLvlLbl val="0"/>
      </c:catAx>
      <c:valAx>
        <c:axId val="40087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87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234626227277152"/>
          <c:y val="4.316252776095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COLETA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Sheet2!$C$2:$C$36</c:f>
              <c:numCache>
                <c:formatCode>General</c:formatCode>
                <c:ptCount val="3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35</c:v>
                </c:pt>
                <c:pt idx="4">
                  <c:v>40</c:v>
                </c:pt>
                <c:pt idx="5">
                  <c:v>40</c:v>
                </c:pt>
                <c:pt idx="6">
                  <c:v>47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60</c:v>
                </c:pt>
                <c:pt idx="14">
                  <c:v>65</c:v>
                </c:pt>
                <c:pt idx="15">
                  <c:v>65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74</c:v>
                </c:pt>
                <c:pt idx="20">
                  <c:v>74</c:v>
                </c:pt>
                <c:pt idx="21">
                  <c:v>77</c:v>
                </c:pt>
                <c:pt idx="22">
                  <c:v>85</c:v>
                </c:pt>
                <c:pt idx="23">
                  <c:v>89</c:v>
                </c:pt>
                <c:pt idx="24">
                  <c:v>99</c:v>
                </c:pt>
                <c:pt idx="25">
                  <c:v>106</c:v>
                </c:pt>
                <c:pt idx="26">
                  <c:v>107</c:v>
                </c:pt>
                <c:pt idx="27">
                  <c:v>110</c:v>
                </c:pt>
                <c:pt idx="28">
                  <c:v>120</c:v>
                </c:pt>
                <c:pt idx="29">
                  <c:v>135</c:v>
                </c:pt>
                <c:pt idx="30">
                  <c:v>147</c:v>
                </c:pt>
                <c:pt idx="31">
                  <c:v>149</c:v>
                </c:pt>
                <c:pt idx="32">
                  <c:v>155</c:v>
                </c:pt>
                <c:pt idx="33">
                  <c:v>180</c:v>
                </c:pt>
                <c:pt idx="34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8-4DA3-A186-DD5CC1AFA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42552"/>
        <c:axId val="524037456"/>
      </c:scatterChart>
      <c:valAx>
        <c:axId val="52404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37456"/>
        <c:crosses val="autoZero"/>
        <c:crossBetween val="midCat"/>
      </c:valAx>
      <c:valAx>
        <c:axId val="5240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4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729002624671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COLETA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Sheet2!$C$2:$C$36</c:f>
              <c:numCache>
                <c:formatCode>General</c:formatCode>
                <c:ptCount val="3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35</c:v>
                </c:pt>
                <c:pt idx="4">
                  <c:v>40</c:v>
                </c:pt>
                <c:pt idx="5">
                  <c:v>40</c:v>
                </c:pt>
                <c:pt idx="6">
                  <c:v>47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60</c:v>
                </c:pt>
                <c:pt idx="14">
                  <c:v>65</c:v>
                </c:pt>
                <c:pt idx="15">
                  <c:v>65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74</c:v>
                </c:pt>
                <c:pt idx="20">
                  <c:v>74</c:v>
                </c:pt>
                <c:pt idx="21">
                  <c:v>77</c:v>
                </c:pt>
                <c:pt idx="22">
                  <c:v>85</c:v>
                </c:pt>
                <c:pt idx="23">
                  <c:v>89</c:v>
                </c:pt>
                <c:pt idx="24">
                  <c:v>99</c:v>
                </c:pt>
                <c:pt idx="25">
                  <c:v>106</c:v>
                </c:pt>
                <c:pt idx="26">
                  <c:v>107</c:v>
                </c:pt>
                <c:pt idx="27">
                  <c:v>110</c:v>
                </c:pt>
                <c:pt idx="28">
                  <c:v>120</c:v>
                </c:pt>
                <c:pt idx="29">
                  <c:v>135</c:v>
                </c:pt>
                <c:pt idx="30">
                  <c:v>147</c:v>
                </c:pt>
                <c:pt idx="31">
                  <c:v>149</c:v>
                </c:pt>
                <c:pt idx="32">
                  <c:v>155</c:v>
                </c:pt>
                <c:pt idx="33">
                  <c:v>180</c:v>
                </c:pt>
                <c:pt idx="34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5-4F32-B6A0-B4861EA5D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4035496"/>
        <c:axId val="524035888"/>
      </c:barChart>
      <c:catAx>
        <c:axId val="524035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35888"/>
        <c:crosses val="autoZero"/>
        <c:auto val="1"/>
        <c:lblAlgn val="ctr"/>
        <c:lblOffset val="100"/>
        <c:noMultiLvlLbl val="0"/>
      </c:catAx>
      <c:valAx>
        <c:axId val="5240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3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Sheet4!$A$2:$A$12</c:f>
              <c:strCache>
                <c:ptCount val="11"/>
                <c:pt idx="0">
                  <c:v>18,5</c:v>
                </c:pt>
                <c:pt idx="1">
                  <c:v>21,5</c:v>
                </c:pt>
                <c:pt idx="2">
                  <c:v>24,5</c:v>
                </c:pt>
                <c:pt idx="3">
                  <c:v>27,5</c:v>
                </c:pt>
                <c:pt idx="4">
                  <c:v>30,5</c:v>
                </c:pt>
                <c:pt idx="5">
                  <c:v>33,5</c:v>
                </c:pt>
                <c:pt idx="6">
                  <c:v>36,5</c:v>
                </c:pt>
                <c:pt idx="7">
                  <c:v>39,5</c:v>
                </c:pt>
                <c:pt idx="8">
                  <c:v>42,5</c:v>
                </c:pt>
                <c:pt idx="9">
                  <c:v>45,5</c:v>
                </c:pt>
                <c:pt idx="10">
                  <c:v>More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5-4863-888E-69E84CA07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448991"/>
        <c:axId val="983665967"/>
      </c:barChart>
      <c:catAx>
        <c:axId val="83144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3665967"/>
        <c:crosses val="autoZero"/>
        <c:auto val="1"/>
        <c:lblAlgn val="ctr"/>
        <c:lblOffset val="100"/>
        <c:noMultiLvlLbl val="0"/>
      </c:catAx>
      <c:valAx>
        <c:axId val="983665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144899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47625</xdr:rowOff>
    </xdr:from>
    <xdr:to>
      <xdr:col>8</xdr:col>
      <xdr:colOff>409575</xdr:colOff>
      <xdr:row>14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BE2A7D-2926-48A5-AE0B-49AFF16C9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0</xdr:row>
      <xdr:rowOff>114300</xdr:rowOff>
    </xdr:from>
    <xdr:to>
      <xdr:col>16</xdr:col>
      <xdr:colOff>552450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339915-44F6-4795-A25E-00A8D1EEA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2</xdr:row>
      <xdr:rowOff>76200</xdr:rowOff>
    </xdr:from>
    <xdr:to>
      <xdr:col>10</xdr:col>
      <xdr:colOff>247650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C0B743-D39E-4F40-9F21-27CDA2E20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180975</xdr:colOff>
      <xdr:row>2</xdr:row>
      <xdr:rowOff>76200</xdr:rowOff>
    </xdr:from>
    <xdr:to>
      <xdr:col>18</xdr:col>
      <xdr:colOff>485775</xdr:colOff>
      <xdr:row>16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4E00D9-B5C4-4129-BD1A-45FF71A44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0</xdr:rowOff>
    </xdr:from>
    <xdr:to>
      <xdr:col>14</xdr:col>
      <xdr:colOff>600075</xdr:colOff>
      <xdr:row>16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0"/>
          <a:ext cx="54864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17</xdr:row>
      <xdr:rowOff>14287</xdr:rowOff>
    </xdr:from>
    <xdr:to>
      <xdr:col>12</xdr:col>
      <xdr:colOff>371475</xdr:colOff>
      <xdr:row>31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28576</xdr:colOff>
      <xdr:row>0</xdr:row>
      <xdr:rowOff>23811</xdr:rowOff>
    </xdr:from>
    <xdr:to>
      <xdr:col>12</xdr:col>
      <xdr:colOff>352426</xdr:colOff>
      <xdr:row>15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95250</xdr:colOff>
      <xdr:row>17</xdr:row>
      <xdr:rowOff>9526</xdr:rowOff>
    </xdr:from>
    <xdr:to>
      <xdr:col>7</xdr:col>
      <xdr:colOff>95250</xdr:colOff>
      <xdr:row>31</xdr:row>
      <xdr:rowOff>85726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5EC02-2B14-47F2-A8A2-B4B69345F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2924176"/>
          <a:ext cx="340042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180974</xdr:rowOff>
    </xdr:from>
    <xdr:to>
      <xdr:col>13</xdr:col>
      <xdr:colOff>304800</xdr:colOff>
      <xdr:row>22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C9F02-4A65-47B4-8FBD-F276D4098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11</xdr:row>
      <xdr:rowOff>180975</xdr:rowOff>
    </xdr:from>
    <xdr:to>
      <xdr:col>12</xdr:col>
      <xdr:colOff>180975</xdr:colOff>
      <xdr:row>31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0C0D37-CC08-4B33-AF83-7B056018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"/>
          <a:ext cx="63531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9" workbookViewId="0">
      <selection activeCell="B28" sqref="B28"/>
    </sheetView>
  </sheetViews>
  <sheetFormatPr defaultRowHeight="15" x14ac:dyDescent="0.25"/>
  <cols>
    <col min="1" max="1" width="30.5703125" style="1" bestFit="1" customWidth="1"/>
    <col min="2" max="2" width="9.140625" style="1"/>
    <col min="3" max="3" width="9.5703125" style="1" bestFit="1" customWidth="1"/>
    <col min="4" max="16384" width="9.140625" style="1"/>
  </cols>
  <sheetData>
    <row r="1" spans="1:1" x14ac:dyDescent="0.25">
      <c r="A1" s="2" t="s">
        <v>0</v>
      </c>
    </row>
    <row r="2" spans="1:1" x14ac:dyDescent="0.25">
      <c r="A2" s="2">
        <v>3</v>
      </c>
    </row>
    <row r="3" spans="1:1" x14ac:dyDescent="0.25">
      <c r="A3" s="2">
        <v>4</v>
      </c>
    </row>
    <row r="4" spans="1:1" x14ac:dyDescent="0.25">
      <c r="A4" s="2">
        <v>5</v>
      </c>
    </row>
    <row r="5" spans="1:1" x14ac:dyDescent="0.25">
      <c r="A5" s="2">
        <v>5</v>
      </c>
    </row>
    <row r="6" spans="1:1" x14ac:dyDescent="0.25">
      <c r="A6" s="2">
        <v>6</v>
      </c>
    </row>
    <row r="7" spans="1:1" x14ac:dyDescent="0.25">
      <c r="A7" s="2">
        <v>7</v>
      </c>
    </row>
    <row r="8" spans="1:1" x14ac:dyDescent="0.25">
      <c r="A8" s="2">
        <v>8</v>
      </c>
    </row>
    <row r="9" spans="1:1" x14ac:dyDescent="0.25">
      <c r="A9" s="2">
        <v>9</v>
      </c>
    </row>
    <row r="10" spans="1:1" x14ac:dyDescent="0.25">
      <c r="A10" s="2">
        <v>9</v>
      </c>
    </row>
    <row r="11" spans="1:1" x14ac:dyDescent="0.25">
      <c r="A11" s="2">
        <v>10</v>
      </c>
    </row>
    <row r="12" spans="1:1" x14ac:dyDescent="0.25">
      <c r="A12" s="2">
        <v>11</v>
      </c>
    </row>
    <row r="13" spans="1:1" x14ac:dyDescent="0.25">
      <c r="A13" s="2">
        <v>12</v>
      </c>
    </row>
    <row r="14" spans="1:1" x14ac:dyDescent="0.25">
      <c r="A14" s="2">
        <v>12</v>
      </c>
    </row>
    <row r="15" spans="1:1" x14ac:dyDescent="0.25">
      <c r="A15" s="2">
        <v>12</v>
      </c>
    </row>
    <row r="16" spans="1:1" x14ac:dyDescent="0.25">
      <c r="A16" s="2">
        <v>14</v>
      </c>
    </row>
    <row r="17" spans="1:3" x14ac:dyDescent="0.25">
      <c r="A17" s="2">
        <v>15</v>
      </c>
    </row>
    <row r="18" spans="1:3" x14ac:dyDescent="0.25">
      <c r="A18" s="2">
        <v>17</v>
      </c>
    </row>
    <row r="19" spans="1:3" x14ac:dyDescent="0.25">
      <c r="A19" s="2">
        <v>18</v>
      </c>
    </row>
    <row r="20" spans="1:3" x14ac:dyDescent="0.25">
      <c r="A20" s="2">
        <v>19</v>
      </c>
    </row>
    <row r="21" spans="1:3" x14ac:dyDescent="0.25">
      <c r="A21" s="2">
        <v>23</v>
      </c>
    </row>
    <row r="24" spans="1:3" x14ac:dyDescent="0.25">
      <c r="A24" s="2" t="s">
        <v>1</v>
      </c>
      <c r="B24" s="2">
        <f>AVERAGE(A2:A21)</f>
        <v>10.95</v>
      </c>
      <c r="C24" s="2"/>
    </row>
    <row r="25" spans="1:3" x14ac:dyDescent="0.25">
      <c r="A25" s="2" t="s">
        <v>2</v>
      </c>
      <c r="B25" s="2">
        <f>MEDIAN(A2:A21)</f>
        <v>10.5</v>
      </c>
      <c r="C25" s="2"/>
    </row>
    <row r="26" spans="1:3" x14ac:dyDescent="0.25">
      <c r="A26" s="2" t="s">
        <v>3</v>
      </c>
      <c r="B26" s="2">
        <f>MODE(A2:A21)</f>
        <v>12</v>
      </c>
      <c r="C26" s="2"/>
    </row>
    <row r="27" spans="1:3" x14ac:dyDescent="0.25">
      <c r="A27" s="2" t="s">
        <v>4</v>
      </c>
      <c r="B27" s="2">
        <f>_xlfn.STDEV.P(A2:A21)</f>
        <v>5.3148377209468967</v>
      </c>
      <c r="C27" s="2"/>
    </row>
    <row r="28" spans="1:3" x14ac:dyDescent="0.25">
      <c r="A28" s="2" t="s">
        <v>5</v>
      </c>
      <c r="B28" s="2">
        <f>_xlfn.STDEV.S(A2:A21)</f>
        <v>5.452908446537112</v>
      </c>
      <c r="C28" s="2"/>
    </row>
    <row r="29" spans="1:3" x14ac:dyDescent="0.25">
      <c r="A29" s="2" t="s">
        <v>6</v>
      </c>
      <c r="B29" s="2">
        <f>B27/B24</f>
        <v>0.48537330784903171</v>
      </c>
      <c r="C29" s="3">
        <f>B29*100</f>
        <v>48.537330784903169</v>
      </c>
    </row>
    <row r="31" spans="1:3" x14ac:dyDescent="0.25">
      <c r="A31" s="1" t="s">
        <v>7</v>
      </c>
    </row>
  </sheetData>
  <sortState ref="A2:A21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3" sqref="C13"/>
    </sheetView>
  </sheetViews>
  <sheetFormatPr defaultRowHeight="15" x14ac:dyDescent="0.25"/>
  <cols>
    <col min="1" max="1" width="24.140625" bestFit="1" customWidth="1"/>
    <col min="2" max="2" width="12.7109375" bestFit="1" customWidth="1"/>
    <col min="3" max="3" width="56.42578125" bestFit="1" customWidth="1"/>
  </cols>
  <sheetData>
    <row r="1" spans="1:3" x14ac:dyDescent="0.25">
      <c r="A1" s="23" t="s">
        <v>0</v>
      </c>
      <c r="B1" s="24"/>
    </row>
    <row r="2" spans="1:3" x14ac:dyDescent="0.25">
      <c r="A2" s="4"/>
      <c r="B2" s="4"/>
    </row>
    <row r="3" spans="1:3" x14ac:dyDescent="0.25">
      <c r="A3" s="4" t="s">
        <v>8</v>
      </c>
      <c r="B3" s="4">
        <v>10.95</v>
      </c>
    </row>
    <row r="4" spans="1:3" x14ac:dyDescent="0.25">
      <c r="A4" s="4" t="s">
        <v>9</v>
      </c>
      <c r="B4" s="4">
        <v>1.219307396153976</v>
      </c>
    </row>
    <row r="5" spans="1:3" x14ac:dyDescent="0.25">
      <c r="A5" s="4" t="s">
        <v>10</v>
      </c>
      <c r="B5" s="4">
        <v>10.5</v>
      </c>
    </row>
    <row r="6" spans="1:3" x14ac:dyDescent="0.25">
      <c r="A6" s="4" t="s">
        <v>11</v>
      </c>
      <c r="B6" s="4">
        <v>12</v>
      </c>
    </row>
    <row r="7" spans="1:3" x14ac:dyDescent="0.25">
      <c r="A7" s="4" t="s">
        <v>12</v>
      </c>
      <c r="B7" s="4">
        <v>5.452908446537112</v>
      </c>
    </row>
    <row r="8" spans="1:3" x14ac:dyDescent="0.25">
      <c r="A8" s="4" t="s">
        <v>13</v>
      </c>
      <c r="B8" s="4">
        <v>29.734210526315781</v>
      </c>
    </row>
    <row r="9" spans="1:3" x14ac:dyDescent="0.25">
      <c r="A9" s="4" t="s">
        <v>14</v>
      </c>
      <c r="B9" s="4">
        <v>-0.3333376894747615</v>
      </c>
      <c r="C9" t="s">
        <v>21</v>
      </c>
    </row>
    <row r="10" spans="1:3" x14ac:dyDescent="0.25">
      <c r="A10" s="4" t="s">
        <v>15</v>
      </c>
      <c r="B10" s="4">
        <v>0.52577608957703692</v>
      </c>
      <c r="C10" t="s">
        <v>22</v>
      </c>
    </row>
    <row r="11" spans="1:3" x14ac:dyDescent="0.25">
      <c r="A11" s="4" t="s">
        <v>16</v>
      </c>
      <c r="B11" s="4">
        <v>20</v>
      </c>
    </row>
    <row r="12" spans="1:3" x14ac:dyDescent="0.25">
      <c r="A12" s="4" t="s">
        <v>17</v>
      </c>
      <c r="B12" s="4">
        <v>3</v>
      </c>
    </row>
    <row r="13" spans="1:3" x14ac:dyDescent="0.25">
      <c r="A13" s="4" t="s">
        <v>18</v>
      </c>
      <c r="B13" s="4">
        <v>23</v>
      </c>
    </row>
    <row r="14" spans="1:3" x14ac:dyDescent="0.25">
      <c r="A14" s="4" t="s">
        <v>19</v>
      </c>
      <c r="B14" s="4">
        <v>219</v>
      </c>
    </row>
    <row r="15" spans="1:3" x14ac:dyDescent="0.25">
      <c r="A15" s="4" t="s">
        <v>20</v>
      </c>
      <c r="B15" s="4">
        <v>20</v>
      </c>
    </row>
    <row r="16" spans="1:3" x14ac:dyDescent="0.25">
      <c r="A16" s="4" t="s">
        <v>23</v>
      </c>
      <c r="B16" s="4">
        <v>2.5520397098682328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D20" sqref="D20"/>
    </sheetView>
  </sheetViews>
  <sheetFormatPr defaultRowHeight="15" x14ac:dyDescent="0.25"/>
  <sheetData>
    <row r="1" spans="1:2" x14ac:dyDescent="0.25">
      <c r="A1" s="2" t="s">
        <v>24</v>
      </c>
      <c r="B1" s="2" t="s">
        <v>24</v>
      </c>
    </row>
    <row r="2" spans="1:2" x14ac:dyDescent="0.25">
      <c r="A2" s="2">
        <v>20</v>
      </c>
      <c r="B2" s="2">
        <v>20</v>
      </c>
    </row>
    <row r="3" spans="1:2" x14ac:dyDescent="0.25">
      <c r="A3" s="2">
        <v>21</v>
      </c>
      <c r="B3" s="2">
        <v>21</v>
      </c>
    </row>
    <row r="4" spans="1:2" x14ac:dyDescent="0.25">
      <c r="A4" s="2">
        <v>25</v>
      </c>
      <c r="B4" s="2">
        <v>25</v>
      </c>
    </row>
    <row r="5" spans="1:2" x14ac:dyDescent="0.25">
      <c r="A5" s="2">
        <v>29</v>
      </c>
      <c r="B5" s="2">
        <v>29</v>
      </c>
    </row>
    <row r="6" spans="1:2" x14ac:dyDescent="0.25">
      <c r="A6" s="2">
        <v>32</v>
      </c>
      <c r="B6" s="2">
        <v>32</v>
      </c>
    </row>
    <row r="7" spans="1:2" x14ac:dyDescent="0.25">
      <c r="A7" s="2">
        <v>35</v>
      </c>
      <c r="B7" s="2">
        <v>35</v>
      </c>
    </row>
    <row r="8" spans="1:2" x14ac:dyDescent="0.25">
      <c r="A8" s="2">
        <v>36</v>
      </c>
      <c r="B8" s="2">
        <v>36</v>
      </c>
    </row>
    <row r="9" spans="1:2" x14ac:dyDescent="0.25">
      <c r="A9" s="2">
        <v>36</v>
      </c>
      <c r="B9" s="2">
        <v>36</v>
      </c>
    </row>
    <row r="10" spans="1:2" x14ac:dyDescent="0.25">
      <c r="A10" s="2">
        <v>38</v>
      </c>
      <c r="B10" s="2">
        <v>38</v>
      </c>
    </row>
    <row r="11" spans="1:2" x14ac:dyDescent="0.25">
      <c r="A11" s="2">
        <v>32</v>
      </c>
      <c r="B11" s="2">
        <v>32</v>
      </c>
    </row>
    <row r="12" spans="1:2" x14ac:dyDescent="0.25">
      <c r="A12" s="2">
        <v>31</v>
      </c>
      <c r="B12" s="2">
        <v>31</v>
      </c>
    </row>
    <row r="13" spans="1:2" x14ac:dyDescent="0.25">
      <c r="A13" s="2">
        <v>30</v>
      </c>
      <c r="B13" s="2">
        <v>30</v>
      </c>
    </row>
    <row r="14" spans="1:2" x14ac:dyDescent="0.25">
      <c r="A14" s="2">
        <v>25</v>
      </c>
      <c r="B14" s="2">
        <v>25</v>
      </c>
    </row>
    <row r="15" spans="1:2" x14ac:dyDescent="0.25">
      <c r="A15" s="2">
        <v>28</v>
      </c>
      <c r="B15" s="2">
        <v>28</v>
      </c>
    </row>
    <row r="16" spans="1:2" x14ac:dyDescent="0.25">
      <c r="A16" s="2">
        <v>29</v>
      </c>
      <c r="B16" s="2">
        <v>29</v>
      </c>
    </row>
    <row r="17" spans="1:2" x14ac:dyDescent="0.25">
      <c r="A17" s="2">
        <v>22</v>
      </c>
      <c r="B17" s="2">
        <v>22</v>
      </c>
    </row>
    <row r="18" spans="1:2" x14ac:dyDescent="0.25">
      <c r="A18" s="2">
        <v>21</v>
      </c>
      <c r="B18" s="2">
        <v>21</v>
      </c>
    </row>
    <row r="19" spans="1:2" x14ac:dyDescent="0.25">
      <c r="A19" s="2">
        <v>14</v>
      </c>
      <c r="B19" s="2">
        <v>14</v>
      </c>
    </row>
    <row r="20" spans="1:2" x14ac:dyDescent="0.25">
      <c r="A20" s="2">
        <v>13</v>
      </c>
      <c r="B20" s="2">
        <v>13</v>
      </c>
    </row>
    <row r="21" spans="1:2" x14ac:dyDescent="0.25">
      <c r="A21" s="2">
        <v>18</v>
      </c>
      <c r="B21" s="2">
        <v>18</v>
      </c>
    </row>
    <row r="22" spans="1:2" x14ac:dyDescent="0.25">
      <c r="A22" s="2">
        <v>22</v>
      </c>
      <c r="B22" s="2">
        <v>22</v>
      </c>
    </row>
    <row r="23" spans="1:2" x14ac:dyDescent="0.25">
      <c r="A23" s="2">
        <v>25</v>
      </c>
      <c r="B23" s="2">
        <v>25</v>
      </c>
    </row>
    <row r="24" spans="1:2" x14ac:dyDescent="0.25">
      <c r="A24" s="2">
        <v>26</v>
      </c>
      <c r="B24" s="2">
        <v>26</v>
      </c>
    </row>
    <row r="25" spans="1:2" x14ac:dyDescent="0.25">
      <c r="A25" s="2">
        <v>28</v>
      </c>
      <c r="B25" s="2">
        <v>28</v>
      </c>
    </row>
    <row r="26" spans="1:2" x14ac:dyDescent="0.25">
      <c r="A26" s="2">
        <v>31</v>
      </c>
      <c r="B26" s="2">
        <v>31</v>
      </c>
    </row>
    <row r="27" spans="1:2" x14ac:dyDescent="0.25">
      <c r="A27" s="2">
        <v>35</v>
      </c>
      <c r="B27" s="2">
        <v>35</v>
      </c>
    </row>
    <row r="28" spans="1:2" x14ac:dyDescent="0.25">
      <c r="A28" s="2">
        <v>39</v>
      </c>
      <c r="B28" s="2">
        <v>39</v>
      </c>
    </row>
    <row r="29" spans="1:2" x14ac:dyDescent="0.25">
      <c r="A29" s="2">
        <v>41</v>
      </c>
      <c r="B29" s="2">
        <v>41</v>
      </c>
    </row>
    <row r="30" spans="1:2" x14ac:dyDescent="0.25">
      <c r="A30" s="2">
        <v>45</v>
      </c>
      <c r="B30" s="2">
        <v>45</v>
      </c>
    </row>
  </sheetData>
  <sortState ref="A2:A30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21" sqref="C21"/>
    </sheetView>
  </sheetViews>
  <sheetFormatPr defaultRowHeight="15" x14ac:dyDescent="0.25"/>
  <cols>
    <col min="1" max="1" width="24.140625" bestFit="1" customWidth="1"/>
    <col min="2" max="2" width="12.7109375" bestFit="1" customWidth="1"/>
  </cols>
  <sheetData>
    <row r="1" spans="1:2" x14ac:dyDescent="0.25">
      <c r="A1" s="23" t="s">
        <v>24</v>
      </c>
      <c r="B1" s="24"/>
    </row>
    <row r="2" spans="1:2" x14ac:dyDescent="0.25">
      <c r="A2" s="4" t="s">
        <v>8</v>
      </c>
      <c r="B2" s="4">
        <v>26.75</v>
      </c>
    </row>
    <row r="3" spans="1:2" x14ac:dyDescent="0.25">
      <c r="A3" s="4" t="s">
        <v>9</v>
      </c>
      <c r="B3" s="4">
        <v>1.6461677985711636</v>
      </c>
    </row>
    <row r="4" spans="1:2" x14ac:dyDescent="0.25">
      <c r="A4" s="4" t="s">
        <v>10</v>
      </c>
      <c r="B4" s="4">
        <v>28.5</v>
      </c>
    </row>
    <row r="5" spans="1:2" x14ac:dyDescent="0.25">
      <c r="A5" s="4" t="s">
        <v>11</v>
      </c>
      <c r="B5" s="4">
        <v>21</v>
      </c>
    </row>
    <row r="6" spans="1:2" x14ac:dyDescent="0.25">
      <c r="A6" s="4" t="s">
        <v>12</v>
      </c>
      <c r="B6" s="4">
        <v>7.3618861999526066</v>
      </c>
    </row>
    <row r="7" spans="1:2" x14ac:dyDescent="0.25">
      <c r="A7" s="4" t="s">
        <v>13</v>
      </c>
      <c r="B7" s="4">
        <v>54.19736842105263</v>
      </c>
    </row>
    <row r="8" spans="1:2" x14ac:dyDescent="0.25">
      <c r="A8" s="4" t="s">
        <v>14</v>
      </c>
      <c r="B8" s="4">
        <v>-0.83083773774924197</v>
      </c>
    </row>
    <row r="9" spans="1:2" x14ac:dyDescent="0.25">
      <c r="A9" s="4" t="s">
        <v>15</v>
      </c>
      <c r="B9" s="4">
        <v>-0.31576056526314411</v>
      </c>
    </row>
    <row r="10" spans="1:2" x14ac:dyDescent="0.25">
      <c r="A10" s="4" t="s">
        <v>16</v>
      </c>
      <c r="B10" s="4">
        <v>25</v>
      </c>
    </row>
    <row r="11" spans="1:2" x14ac:dyDescent="0.25">
      <c r="A11" s="4" t="s">
        <v>17</v>
      </c>
      <c r="B11" s="4">
        <v>13</v>
      </c>
    </row>
    <row r="12" spans="1:2" x14ac:dyDescent="0.25">
      <c r="A12" s="4" t="s">
        <v>18</v>
      </c>
      <c r="B12" s="4">
        <v>38</v>
      </c>
    </row>
    <row r="13" spans="1:2" x14ac:dyDescent="0.25">
      <c r="A13" s="4" t="s">
        <v>19</v>
      </c>
      <c r="B13" s="4">
        <v>535</v>
      </c>
    </row>
    <row r="14" spans="1:2" x14ac:dyDescent="0.25">
      <c r="A14" s="4" t="s">
        <v>20</v>
      </c>
      <c r="B14" s="4">
        <v>20</v>
      </c>
    </row>
    <row r="15" spans="1:2" x14ac:dyDescent="0.25">
      <c r="A15" s="4" t="s">
        <v>23</v>
      </c>
      <c r="B15" s="4">
        <v>3.4454688000018168</v>
      </c>
    </row>
    <row r="16" spans="1:2" x14ac:dyDescent="0.25">
      <c r="A16" s="2" t="s">
        <v>25</v>
      </c>
      <c r="B16" s="5">
        <f>B6/B2</f>
        <v>0.27521069906364887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I15" sqref="I15"/>
    </sheetView>
  </sheetViews>
  <sheetFormatPr defaultRowHeight="15" x14ac:dyDescent="0.25"/>
  <cols>
    <col min="1" max="1" width="11" bestFit="1" customWidth="1"/>
    <col min="3" max="3" width="12.5703125" bestFit="1" customWidth="1"/>
    <col min="5" max="5" width="11" bestFit="1" customWidth="1"/>
    <col min="8" max="8" width="9.7109375" customWidth="1"/>
    <col min="9" max="9" width="11.140625" customWidth="1"/>
    <col min="15" max="15" width="12" customWidth="1"/>
  </cols>
  <sheetData>
    <row r="1" spans="1:15" ht="18.75" x14ac:dyDescent="0.3">
      <c r="A1" s="10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x14ac:dyDescent="0.25">
      <c r="A3" s="6"/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pans="1:15" x14ac:dyDescent="0.25">
      <c r="A4" s="6" t="s">
        <v>31</v>
      </c>
      <c r="B4" s="2">
        <v>38</v>
      </c>
      <c r="C4" s="2">
        <v>39.5</v>
      </c>
      <c r="D4" s="2">
        <v>36.770000000000003</v>
      </c>
      <c r="E4" s="2">
        <v>37.130000000000003</v>
      </c>
      <c r="F4" s="2">
        <v>39.21</v>
      </c>
    </row>
    <row r="5" spans="1:15" x14ac:dyDescent="0.25">
      <c r="A5" s="6" t="s">
        <v>32</v>
      </c>
      <c r="B5" s="2">
        <v>37</v>
      </c>
      <c r="C5" s="2">
        <v>38.75</v>
      </c>
      <c r="D5" s="2">
        <v>36</v>
      </c>
      <c r="E5" s="2">
        <v>37.1</v>
      </c>
      <c r="F5" s="2">
        <v>39.299999999999997</v>
      </c>
    </row>
    <row r="6" spans="1:15" x14ac:dyDescent="0.25">
      <c r="A6" s="6" t="s">
        <v>33</v>
      </c>
      <c r="B6" s="2">
        <v>38</v>
      </c>
      <c r="C6" s="2">
        <v>37.89</v>
      </c>
      <c r="D6" s="2">
        <v>36</v>
      </c>
      <c r="E6" s="2">
        <v>36</v>
      </c>
      <c r="F6" s="2">
        <v>39</v>
      </c>
    </row>
    <row r="7" spans="1:15" x14ac:dyDescent="0.25">
      <c r="A7" s="6" t="s">
        <v>34</v>
      </c>
      <c r="B7" s="2">
        <v>7.31</v>
      </c>
      <c r="C7" s="3">
        <f>SQRT(C8)</f>
        <v>6.9433421347359801</v>
      </c>
      <c r="D7" s="2">
        <v>6.77</v>
      </c>
      <c r="E7" s="3">
        <f>SQRT(E8)</f>
        <v>5.0129831437977126</v>
      </c>
      <c r="F7" s="2">
        <v>8.33</v>
      </c>
    </row>
    <row r="8" spans="1:15" x14ac:dyDescent="0.25">
      <c r="A8" s="6" t="s">
        <v>58</v>
      </c>
      <c r="B8" s="2"/>
      <c r="C8" s="2">
        <v>48.21</v>
      </c>
      <c r="D8" s="2"/>
      <c r="E8" s="2">
        <v>25.13</v>
      </c>
      <c r="F8" s="2"/>
    </row>
    <row r="9" spans="1:15" x14ac:dyDescent="0.25">
      <c r="A9" s="7"/>
    </row>
    <row r="10" spans="1:15" x14ac:dyDescent="0.25">
      <c r="A10" s="6" t="s">
        <v>25</v>
      </c>
      <c r="B10" s="5">
        <f>B7/B4</f>
        <v>0.19236842105263158</v>
      </c>
      <c r="C10" s="5">
        <f t="shared" ref="C10:F10" si="0">C7/C4</f>
        <v>0.17578081353761973</v>
      </c>
      <c r="D10" s="5">
        <f t="shared" si="0"/>
        <v>0.18411748708186018</v>
      </c>
      <c r="E10" s="8">
        <f t="shared" si="0"/>
        <v>0.13501166560187752</v>
      </c>
      <c r="F10" s="5">
        <f t="shared" si="0"/>
        <v>0.21244580464167304</v>
      </c>
    </row>
    <row r="13" spans="1:15" ht="21" x14ac:dyDescent="0.35">
      <c r="A13" s="12"/>
      <c r="B13" s="12"/>
      <c r="C13" s="12"/>
      <c r="D13" s="11"/>
      <c r="E13" s="13" t="s">
        <v>59</v>
      </c>
      <c r="F13" s="12"/>
      <c r="G13" s="12"/>
      <c r="H13" s="11"/>
      <c r="I13" s="1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I8" sqref="I8"/>
    </sheetView>
  </sheetViews>
  <sheetFormatPr defaultRowHeight="15" x14ac:dyDescent="0.25"/>
  <cols>
    <col min="1" max="1" width="29.28515625" bestFit="1" customWidth="1"/>
    <col min="2" max="2" width="11.140625" bestFit="1" customWidth="1"/>
    <col min="6" max="6" width="12.85546875" bestFit="1" customWidth="1"/>
  </cols>
  <sheetData>
    <row r="1" spans="1:8" ht="21" x14ac:dyDescent="0.35">
      <c r="A1" s="9" t="s">
        <v>36</v>
      </c>
    </row>
    <row r="2" spans="1:8" ht="21" x14ac:dyDescent="0.35">
      <c r="A2" s="9" t="s">
        <v>37</v>
      </c>
      <c r="F2" t="s">
        <v>56</v>
      </c>
    </row>
    <row r="4" spans="1:8" x14ac:dyDescent="0.25">
      <c r="A4" s="2" t="s">
        <v>40</v>
      </c>
      <c r="B4" s="2" t="s">
        <v>38</v>
      </c>
      <c r="C4" s="2" t="s">
        <v>39</v>
      </c>
      <c r="F4">
        <f>CORREL(B5:B16,C5:C16)</f>
        <v>0.90778132336969586</v>
      </c>
      <c r="H4" t="s">
        <v>57</v>
      </c>
    </row>
    <row r="5" spans="1:8" x14ac:dyDescent="0.25">
      <c r="A5" s="2" t="s">
        <v>41</v>
      </c>
      <c r="B5" s="2">
        <v>120</v>
      </c>
      <c r="C5" s="2">
        <v>17</v>
      </c>
      <c r="H5" t="s">
        <v>60</v>
      </c>
    </row>
    <row r="6" spans="1:8" x14ac:dyDescent="0.25">
      <c r="A6" s="2" t="s">
        <v>42</v>
      </c>
      <c r="B6" s="2">
        <v>108</v>
      </c>
      <c r="C6" s="2">
        <v>13</v>
      </c>
      <c r="H6" s="16"/>
    </row>
    <row r="7" spans="1:8" x14ac:dyDescent="0.25">
      <c r="A7" s="2" t="s">
        <v>43</v>
      </c>
      <c r="B7" s="2">
        <v>117</v>
      </c>
      <c r="C7" s="2">
        <v>15</v>
      </c>
    </row>
    <row r="8" spans="1:8" x14ac:dyDescent="0.25">
      <c r="A8" s="2" t="s">
        <v>44</v>
      </c>
      <c r="B8" s="2">
        <v>122</v>
      </c>
      <c r="C8" s="2">
        <v>18</v>
      </c>
    </row>
    <row r="9" spans="1:8" x14ac:dyDescent="0.25">
      <c r="A9" s="2" t="s">
        <v>45</v>
      </c>
      <c r="B9" s="2">
        <v>132</v>
      </c>
      <c r="C9" s="2">
        <v>21</v>
      </c>
    </row>
    <row r="10" spans="1:8" x14ac:dyDescent="0.25">
      <c r="A10" s="2" t="s">
        <v>46</v>
      </c>
      <c r="B10" s="2">
        <v>128</v>
      </c>
      <c r="C10" s="2">
        <v>19</v>
      </c>
    </row>
    <row r="11" spans="1:8" x14ac:dyDescent="0.25">
      <c r="A11" s="2" t="s">
        <v>47</v>
      </c>
      <c r="B11" s="2">
        <v>126</v>
      </c>
      <c r="C11" s="2">
        <v>16</v>
      </c>
    </row>
    <row r="12" spans="1:8" x14ac:dyDescent="0.25">
      <c r="A12" s="2" t="s">
        <v>48</v>
      </c>
      <c r="B12" s="2">
        <v>117</v>
      </c>
      <c r="C12" s="2">
        <v>15</v>
      </c>
    </row>
    <row r="13" spans="1:8" x14ac:dyDescent="0.25">
      <c r="A13" s="2" t="s">
        <v>49</v>
      </c>
      <c r="B13" s="2">
        <v>119</v>
      </c>
      <c r="C13" s="2">
        <v>17</v>
      </c>
    </row>
    <row r="14" spans="1:8" x14ac:dyDescent="0.25">
      <c r="A14" s="2" t="s">
        <v>50</v>
      </c>
      <c r="B14" s="2">
        <v>110</v>
      </c>
      <c r="C14" s="2">
        <v>14</v>
      </c>
    </row>
    <row r="15" spans="1:8" x14ac:dyDescent="0.25">
      <c r="A15" s="2" t="s">
        <v>51</v>
      </c>
      <c r="B15" s="2">
        <v>121</v>
      </c>
      <c r="C15" s="2">
        <v>17</v>
      </c>
    </row>
    <row r="16" spans="1:8" x14ac:dyDescent="0.25">
      <c r="A16" s="2" t="s">
        <v>52</v>
      </c>
      <c r="B16" s="2">
        <v>124</v>
      </c>
      <c r="C16" s="2">
        <v>19</v>
      </c>
    </row>
    <row r="18" spans="1:3" x14ac:dyDescent="0.25">
      <c r="A18" s="2" t="s">
        <v>31</v>
      </c>
      <c r="B18" s="3">
        <f>AVERAGE(B5:B16)</f>
        <v>120.33333333333333</v>
      </c>
      <c r="C18" s="3">
        <f>AVERAGE(C5:C16)</f>
        <v>16.75</v>
      </c>
    </row>
    <row r="19" spans="1:3" x14ac:dyDescent="0.25">
      <c r="A19" s="2" t="s">
        <v>32</v>
      </c>
      <c r="B19" s="3">
        <f>MEDIAN(B5:B16)</f>
        <v>120.5</v>
      </c>
      <c r="C19" s="3">
        <f>MEDIAN(C5:C16)</f>
        <v>17</v>
      </c>
    </row>
    <row r="20" spans="1:3" x14ac:dyDescent="0.25">
      <c r="A20" s="2" t="s">
        <v>33</v>
      </c>
      <c r="B20" s="3">
        <f>MODE(B5:B16)</f>
        <v>117</v>
      </c>
      <c r="C20" s="3">
        <f>MODE(C5:C16)</f>
        <v>17</v>
      </c>
    </row>
    <row r="21" spans="1:3" x14ac:dyDescent="0.25">
      <c r="A21" s="2" t="s">
        <v>53</v>
      </c>
      <c r="B21" s="3">
        <f>_xlfn.STDEV.S(B5:B16)</f>
        <v>6.9194499693825282</v>
      </c>
      <c r="C21" s="3">
        <f>_xlfn.STDEV.S(C5:C16)</f>
        <v>2.3011854652449344</v>
      </c>
    </row>
    <row r="22" spans="1:3" x14ac:dyDescent="0.25">
      <c r="A22" s="2" t="s">
        <v>54</v>
      </c>
      <c r="B22" s="14">
        <f>B21/B18</f>
        <v>5.7502354316198295E-2</v>
      </c>
      <c r="C22" s="15">
        <f>C21/C18</f>
        <v>0.1373842068802946</v>
      </c>
    </row>
    <row r="23" spans="1:3" x14ac:dyDescent="0.25">
      <c r="A23" s="2" t="s">
        <v>54</v>
      </c>
      <c r="B23" s="5">
        <f>B22</f>
        <v>5.7502354316198295E-2</v>
      </c>
      <c r="C23" s="5">
        <f>C22</f>
        <v>0.1373842068802946</v>
      </c>
    </row>
    <row r="25" spans="1:3" x14ac:dyDescent="0.25">
      <c r="B25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B16"/>
    </sheetView>
  </sheetViews>
  <sheetFormatPr defaultRowHeight="15" x14ac:dyDescent="0.25"/>
  <cols>
    <col min="1" max="1" width="23.28515625" bestFit="1" customWidth="1"/>
    <col min="2" max="2" width="12.5703125" bestFit="1" customWidth="1"/>
    <col min="4" max="4" width="24.140625" bestFit="1" customWidth="1"/>
  </cols>
  <sheetData>
    <row r="1" spans="1:5" x14ac:dyDescent="0.25">
      <c r="A1" s="23" t="s">
        <v>61</v>
      </c>
      <c r="B1" s="24"/>
      <c r="D1" s="23" t="s">
        <v>24</v>
      </c>
      <c r="E1" s="24"/>
    </row>
    <row r="2" spans="1:5" x14ac:dyDescent="0.25">
      <c r="A2" s="4" t="s">
        <v>8</v>
      </c>
      <c r="B2" s="17">
        <v>78.882352941176464</v>
      </c>
      <c r="D2" s="4" t="s">
        <v>8</v>
      </c>
      <c r="E2" s="4">
        <v>26.75</v>
      </c>
    </row>
    <row r="3" spans="1:5" x14ac:dyDescent="0.25">
      <c r="A3" s="4" t="s">
        <v>9</v>
      </c>
      <c r="B3" s="17">
        <v>6.835313139468103</v>
      </c>
      <c r="D3" s="4" t="s">
        <v>9</v>
      </c>
      <c r="E3" s="4">
        <v>1.6461677985711636</v>
      </c>
    </row>
    <row r="4" spans="1:5" x14ac:dyDescent="0.25">
      <c r="A4" s="4" t="s">
        <v>10</v>
      </c>
      <c r="B4" s="4">
        <v>68.5</v>
      </c>
      <c r="D4" s="4" t="s">
        <v>10</v>
      </c>
      <c r="E4" s="4">
        <v>28.5</v>
      </c>
    </row>
    <row r="5" spans="1:5" x14ac:dyDescent="0.25">
      <c r="A5" s="4" t="s">
        <v>11</v>
      </c>
      <c r="B5" s="4">
        <v>59</v>
      </c>
      <c r="D5" s="4" t="s">
        <v>11</v>
      </c>
      <c r="E5" s="4">
        <v>21</v>
      </c>
    </row>
    <row r="6" spans="1:5" x14ac:dyDescent="0.25">
      <c r="A6" s="4" t="s">
        <v>12</v>
      </c>
      <c r="B6" s="17">
        <v>39.856382102442517</v>
      </c>
      <c r="D6" s="4" t="s">
        <v>12</v>
      </c>
      <c r="E6" s="4">
        <v>7.3618861999526066</v>
      </c>
    </row>
    <row r="7" spans="1:5" x14ac:dyDescent="0.25">
      <c r="A7" s="4" t="s">
        <v>13</v>
      </c>
      <c r="B7" s="17">
        <v>1588.5311942958999</v>
      </c>
      <c r="D7" s="4" t="s">
        <v>13</v>
      </c>
      <c r="E7" s="4">
        <v>54.19736842105263</v>
      </c>
    </row>
    <row r="8" spans="1:5" x14ac:dyDescent="0.25">
      <c r="A8" s="4" t="s">
        <v>14</v>
      </c>
      <c r="B8" s="17">
        <v>0.13166265826981904</v>
      </c>
      <c r="D8" s="4" t="s">
        <v>14</v>
      </c>
      <c r="E8" s="4">
        <v>-0.83083773774924197</v>
      </c>
    </row>
    <row r="9" spans="1:5" x14ac:dyDescent="0.25">
      <c r="A9" s="4" t="s">
        <v>15</v>
      </c>
      <c r="B9" s="17">
        <v>0.83796996255858436</v>
      </c>
      <c r="D9" s="4" t="s">
        <v>15</v>
      </c>
      <c r="E9" s="4">
        <v>-0.31576056526314411</v>
      </c>
    </row>
    <row r="10" spans="1:5" x14ac:dyDescent="0.25">
      <c r="A10" s="4" t="s">
        <v>16</v>
      </c>
      <c r="B10" s="4">
        <v>158</v>
      </c>
      <c r="D10" s="4" t="s">
        <v>16</v>
      </c>
      <c r="E10" s="4">
        <v>25</v>
      </c>
    </row>
    <row r="11" spans="1:5" x14ac:dyDescent="0.25">
      <c r="A11" s="4" t="s">
        <v>17</v>
      </c>
      <c r="B11" s="4">
        <v>22</v>
      </c>
      <c r="D11" s="4" t="s">
        <v>17</v>
      </c>
      <c r="E11" s="4">
        <v>13</v>
      </c>
    </row>
    <row r="12" spans="1:5" x14ac:dyDescent="0.25">
      <c r="A12" s="4" t="s">
        <v>18</v>
      </c>
      <c r="B12" s="4">
        <v>180</v>
      </c>
      <c r="D12" s="4" t="s">
        <v>18</v>
      </c>
      <c r="E12" s="4">
        <v>38</v>
      </c>
    </row>
    <row r="13" spans="1:5" x14ac:dyDescent="0.25">
      <c r="A13" s="4" t="s">
        <v>19</v>
      </c>
      <c r="B13" s="4">
        <v>2682</v>
      </c>
      <c r="D13" s="4" t="s">
        <v>19</v>
      </c>
      <c r="E13" s="4">
        <v>535</v>
      </c>
    </row>
    <row r="14" spans="1:5" x14ac:dyDescent="0.25">
      <c r="A14" s="4" t="s">
        <v>20</v>
      </c>
      <c r="B14" s="4">
        <v>34</v>
      </c>
      <c r="D14" s="4" t="s">
        <v>20</v>
      </c>
      <c r="E14" s="4">
        <v>20</v>
      </c>
    </row>
    <row r="15" spans="1:5" x14ac:dyDescent="0.25">
      <c r="A15" s="4" t="s">
        <v>23</v>
      </c>
      <c r="B15" s="17">
        <v>13.906549145104316</v>
      </c>
      <c r="D15" s="4" t="s">
        <v>23</v>
      </c>
      <c r="E15" s="4">
        <v>3.4454688000018168</v>
      </c>
    </row>
    <row r="16" spans="1:5" x14ac:dyDescent="0.25">
      <c r="A16" s="2" t="s">
        <v>25</v>
      </c>
      <c r="B16" s="5">
        <f>B6/B2</f>
        <v>0.50526360607123255</v>
      </c>
      <c r="D16" s="2" t="s">
        <v>25</v>
      </c>
      <c r="E16" s="5">
        <f>E6/E2</f>
        <v>0.27521069906364887</v>
      </c>
    </row>
  </sheetData>
  <mergeCells count="2">
    <mergeCell ref="D1:E1"/>
    <mergeCell ref="A1:B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7"/>
  <sheetViews>
    <sheetView workbookViewId="0">
      <selection activeCell="O28" sqref="O28"/>
    </sheetView>
  </sheetViews>
  <sheetFormatPr defaultRowHeight="13.5" customHeight="1" x14ac:dyDescent="0.25"/>
  <cols>
    <col min="1" max="1" width="4.42578125" customWidth="1"/>
    <col min="2" max="2" width="5.140625" customWidth="1"/>
    <col min="3" max="3" width="9.140625" style="1"/>
    <col min="6" max="6" width="24.140625" bestFit="1" customWidth="1"/>
    <col min="7" max="7" width="8.5703125" bestFit="1" customWidth="1"/>
  </cols>
  <sheetData>
    <row r="1" spans="2:13" ht="13.5" customHeight="1" x14ac:dyDescent="0.25">
      <c r="B1" s="25" t="s">
        <v>61</v>
      </c>
      <c r="C1" s="25"/>
      <c r="F1" s="23" t="s">
        <v>61</v>
      </c>
      <c r="G1" s="24"/>
    </row>
    <row r="2" spans="2:13" ht="13.5" customHeight="1" x14ac:dyDescent="0.25">
      <c r="B2" s="21">
        <v>1</v>
      </c>
      <c r="C2" s="19">
        <v>22</v>
      </c>
      <c r="D2" s="18" t="s">
        <v>62</v>
      </c>
      <c r="E2" s="15">
        <f>AVERAGE(C2:C36)</f>
        <v>82.371428571428567</v>
      </c>
      <c r="F2" s="4" t="s">
        <v>8</v>
      </c>
      <c r="G2" s="17">
        <v>78.882352941176464</v>
      </c>
    </row>
    <row r="3" spans="2:13" ht="13.5" customHeight="1" x14ac:dyDescent="0.25">
      <c r="B3" s="21">
        <v>2</v>
      </c>
      <c r="C3" s="19">
        <v>23</v>
      </c>
      <c r="D3" s="18" t="s">
        <v>2</v>
      </c>
      <c r="E3" s="2">
        <f>MEDIAN(C2:C36)</f>
        <v>69</v>
      </c>
      <c r="F3" s="4" t="s">
        <v>9</v>
      </c>
      <c r="G3" s="17">
        <v>6.835313139468103</v>
      </c>
    </row>
    <row r="4" spans="2:13" ht="13.5" customHeight="1" x14ac:dyDescent="0.25">
      <c r="B4" s="21">
        <v>3</v>
      </c>
      <c r="C4" s="19">
        <v>26</v>
      </c>
      <c r="D4" s="18" t="s">
        <v>3</v>
      </c>
      <c r="E4" s="2">
        <f>MODE(C2:C36)</f>
        <v>59</v>
      </c>
      <c r="F4" s="4" t="s">
        <v>10</v>
      </c>
      <c r="G4" s="4">
        <v>68.5</v>
      </c>
    </row>
    <row r="5" spans="2:13" ht="13.5" customHeight="1" x14ac:dyDescent="0.25">
      <c r="B5" s="21">
        <v>4</v>
      </c>
      <c r="C5" s="19">
        <v>35</v>
      </c>
      <c r="D5" s="18" t="s">
        <v>34</v>
      </c>
      <c r="E5" s="15">
        <f>_xlfn.STDEV.S(C2:C36)</f>
        <v>44.360876850643777</v>
      </c>
      <c r="F5" s="4" t="s">
        <v>11</v>
      </c>
      <c r="G5" s="4">
        <v>59</v>
      </c>
    </row>
    <row r="6" spans="2:13" ht="13.5" customHeight="1" x14ac:dyDescent="0.25">
      <c r="B6" s="21">
        <v>5</v>
      </c>
      <c r="C6" s="19">
        <v>40</v>
      </c>
      <c r="D6" s="18" t="s">
        <v>25</v>
      </c>
      <c r="E6" s="5">
        <f>E5/E2</f>
        <v>0.53854689204735773</v>
      </c>
      <c r="F6" s="4" t="s">
        <v>12</v>
      </c>
      <c r="G6" s="17">
        <v>39.856382102442517</v>
      </c>
    </row>
    <row r="7" spans="2:13" ht="13.5" customHeight="1" x14ac:dyDescent="0.25">
      <c r="B7" s="21">
        <v>6</v>
      </c>
      <c r="C7" s="19">
        <v>40</v>
      </c>
      <c r="F7" s="4" t="s">
        <v>13</v>
      </c>
      <c r="G7" s="17">
        <v>1588.5311942958999</v>
      </c>
    </row>
    <row r="8" spans="2:13" ht="13.5" customHeight="1" x14ac:dyDescent="0.25">
      <c r="B8" s="21">
        <v>7</v>
      </c>
      <c r="C8" s="19">
        <v>47</v>
      </c>
      <c r="F8" s="4" t="s">
        <v>14</v>
      </c>
      <c r="G8" s="17">
        <v>0.13166265826981904</v>
      </c>
    </row>
    <row r="9" spans="2:13" ht="13.5" customHeight="1" x14ac:dyDescent="0.25">
      <c r="B9" s="21">
        <v>8</v>
      </c>
      <c r="C9" s="19">
        <v>55</v>
      </c>
      <c r="F9" s="4" t="s">
        <v>15</v>
      </c>
      <c r="G9" s="17">
        <v>0.83796996255858436</v>
      </c>
    </row>
    <row r="10" spans="2:13" ht="13.5" customHeight="1" x14ac:dyDescent="0.25">
      <c r="B10" s="21">
        <v>9</v>
      </c>
      <c r="C10" s="19">
        <v>56</v>
      </c>
      <c r="F10" s="4" t="s">
        <v>16</v>
      </c>
      <c r="G10" s="4">
        <v>158</v>
      </c>
    </row>
    <row r="11" spans="2:13" ht="13.5" customHeight="1" x14ac:dyDescent="0.25">
      <c r="B11" s="21">
        <v>10</v>
      </c>
      <c r="C11" s="19">
        <v>57</v>
      </c>
      <c r="F11" s="4" t="s">
        <v>17</v>
      </c>
      <c r="G11" s="4">
        <v>22</v>
      </c>
      <c r="M11" s="16"/>
    </row>
    <row r="12" spans="2:13" ht="13.5" customHeight="1" x14ac:dyDescent="0.25">
      <c r="B12" s="21">
        <v>11</v>
      </c>
      <c r="C12" s="19">
        <v>59</v>
      </c>
      <c r="F12" s="4" t="s">
        <v>18</v>
      </c>
      <c r="G12" s="4">
        <v>180</v>
      </c>
    </row>
    <row r="13" spans="2:13" ht="13.5" customHeight="1" x14ac:dyDescent="0.25">
      <c r="B13" s="21">
        <v>12</v>
      </c>
      <c r="C13" s="19">
        <v>59</v>
      </c>
      <c r="F13" s="4" t="s">
        <v>19</v>
      </c>
      <c r="G13" s="4">
        <v>2682</v>
      </c>
    </row>
    <row r="14" spans="2:13" ht="13.5" customHeight="1" x14ac:dyDescent="0.25">
      <c r="B14" s="21">
        <v>13</v>
      </c>
      <c r="C14" s="19">
        <v>59</v>
      </c>
      <c r="E14" s="16"/>
      <c r="F14" s="4" t="s">
        <v>20</v>
      </c>
      <c r="G14" s="4">
        <v>34</v>
      </c>
    </row>
    <row r="15" spans="2:13" ht="13.5" customHeight="1" x14ac:dyDescent="0.25">
      <c r="B15" s="21">
        <v>14</v>
      </c>
      <c r="C15" s="19">
        <v>60</v>
      </c>
      <c r="F15" s="4" t="s">
        <v>23</v>
      </c>
      <c r="G15" s="17">
        <v>13.906549145104316</v>
      </c>
    </row>
    <row r="16" spans="2:13" ht="13.5" customHeight="1" x14ac:dyDescent="0.25">
      <c r="B16" s="21">
        <v>15</v>
      </c>
      <c r="C16" s="19">
        <v>65</v>
      </c>
      <c r="F16" s="2" t="s">
        <v>25</v>
      </c>
      <c r="G16" s="5">
        <f>G6/G2</f>
        <v>0.50526360607123255</v>
      </c>
    </row>
    <row r="17" spans="2:20" ht="13.5" customHeight="1" x14ac:dyDescent="0.25">
      <c r="B17" s="21">
        <v>16</v>
      </c>
      <c r="C17" s="19">
        <v>65</v>
      </c>
    </row>
    <row r="18" spans="2:20" ht="13.5" customHeight="1" x14ac:dyDescent="0.25">
      <c r="B18" s="21">
        <v>17</v>
      </c>
      <c r="C18" s="19">
        <v>68</v>
      </c>
    </row>
    <row r="19" spans="2:20" ht="13.5" customHeight="1" x14ac:dyDescent="0.25">
      <c r="B19" s="21">
        <v>18</v>
      </c>
      <c r="C19" s="19">
        <v>69</v>
      </c>
    </row>
    <row r="20" spans="2:20" ht="13.5" customHeight="1" x14ac:dyDescent="0.25">
      <c r="B20" s="21">
        <v>19</v>
      </c>
      <c r="C20" s="19">
        <v>70</v>
      </c>
    </row>
    <row r="21" spans="2:20" ht="13.5" customHeight="1" x14ac:dyDescent="0.25">
      <c r="B21" s="21">
        <v>20</v>
      </c>
      <c r="C21" s="19">
        <v>74</v>
      </c>
    </row>
    <row r="22" spans="2:20" ht="13.5" customHeight="1" x14ac:dyDescent="0.25">
      <c r="B22" s="21">
        <v>21</v>
      </c>
      <c r="C22" s="19">
        <v>74</v>
      </c>
    </row>
    <row r="23" spans="2:20" ht="13.5" customHeight="1" x14ac:dyDescent="0.25">
      <c r="B23" s="21">
        <v>22</v>
      </c>
      <c r="C23" s="19">
        <v>77</v>
      </c>
    </row>
    <row r="24" spans="2:20" ht="13.5" customHeight="1" x14ac:dyDescent="0.25">
      <c r="B24" s="21">
        <v>23</v>
      </c>
      <c r="C24" s="19">
        <v>85</v>
      </c>
    </row>
    <row r="25" spans="2:20" ht="13.5" customHeight="1" x14ac:dyDescent="0.25">
      <c r="B25" s="21">
        <v>24</v>
      </c>
      <c r="C25" s="19">
        <v>89</v>
      </c>
    </row>
    <row r="26" spans="2:20" ht="13.5" customHeight="1" x14ac:dyDescent="0.25">
      <c r="B26" s="21">
        <v>25</v>
      </c>
      <c r="C26" s="19">
        <v>99</v>
      </c>
      <c r="T26" s="20"/>
    </row>
    <row r="27" spans="2:20" ht="13.5" customHeight="1" x14ac:dyDescent="0.25">
      <c r="B27" s="21">
        <v>26</v>
      </c>
      <c r="C27" s="19">
        <v>106</v>
      </c>
    </row>
    <row r="28" spans="2:20" ht="13.5" customHeight="1" x14ac:dyDescent="0.25">
      <c r="B28" s="21">
        <v>27</v>
      </c>
      <c r="C28" s="19">
        <v>107</v>
      </c>
    </row>
    <row r="29" spans="2:20" ht="13.5" customHeight="1" x14ac:dyDescent="0.25">
      <c r="B29" s="21">
        <v>28</v>
      </c>
      <c r="C29" s="19">
        <v>110</v>
      </c>
    </row>
    <row r="30" spans="2:20" ht="13.5" customHeight="1" x14ac:dyDescent="0.25">
      <c r="B30" s="21">
        <v>29</v>
      </c>
      <c r="C30" s="19">
        <v>120</v>
      </c>
    </row>
    <row r="31" spans="2:20" ht="13.5" customHeight="1" x14ac:dyDescent="0.25">
      <c r="B31" s="21">
        <v>30</v>
      </c>
      <c r="C31" s="19">
        <v>135</v>
      </c>
    </row>
    <row r="32" spans="2:20" ht="13.5" customHeight="1" x14ac:dyDescent="0.25">
      <c r="B32" s="21">
        <v>31</v>
      </c>
      <c r="C32" s="19">
        <v>147</v>
      </c>
    </row>
    <row r="33" spans="2:13" ht="13.5" customHeight="1" x14ac:dyDescent="0.25">
      <c r="B33" s="21">
        <v>32</v>
      </c>
      <c r="C33" s="19">
        <v>149</v>
      </c>
    </row>
    <row r="34" spans="2:13" ht="13.5" customHeight="1" x14ac:dyDescent="0.25">
      <c r="B34" s="21">
        <v>33</v>
      </c>
      <c r="C34" s="19">
        <v>155</v>
      </c>
    </row>
    <row r="35" spans="2:13" ht="13.5" customHeight="1" x14ac:dyDescent="0.25">
      <c r="B35" s="21">
        <v>34</v>
      </c>
      <c r="C35" s="19">
        <v>180</v>
      </c>
      <c r="D35" s="26" t="s">
        <v>63</v>
      </c>
      <c r="E35" s="26"/>
      <c r="F35" s="26"/>
      <c r="G35" s="26"/>
      <c r="H35" s="26"/>
      <c r="I35" s="26"/>
      <c r="J35" s="26"/>
      <c r="K35" s="26"/>
      <c r="L35" s="26"/>
    </row>
    <row r="36" spans="2:13" ht="13.5" customHeight="1" x14ac:dyDescent="0.25">
      <c r="B36" s="21">
        <v>35</v>
      </c>
      <c r="C36" s="19">
        <v>201</v>
      </c>
      <c r="D36" s="26"/>
      <c r="E36" s="26"/>
      <c r="F36" s="26"/>
      <c r="G36" s="26"/>
      <c r="H36" s="26"/>
      <c r="I36" s="26"/>
      <c r="J36" s="26"/>
      <c r="K36" s="26"/>
      <c r="L36" s="26"/>
    </row>
    <row r="37" spans="2:13" ht="13.5" customHeight="1" x14ac:dyDescent="0.25">
      <c r="M37">
        <v>15</v>
      </c>
    </row>
  </sheetData>
  <sortState ref="C2:C37">
    <sortCondition ref="C1"/>
  </sortState>
  <mergeCells count="3">
    <mergeCell ref="F1:G1"/>
    <mergeCell ref="B1:C1"/>
    <mergeCell ref="D35:L36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s="32" t="s">
        <v>68</v>
      </c>
      <c r="B1" s="32" t="s">
        <v>70</v>
      </c>
    </row>
    <row r="2" spans="1:2" x14ac:dyDescent="0.25">
      <c r="A2" s="29">
        <v>18.5</v>
      </c>
      <c r="B2" s="30">
        <v>4</v>
      </c>
    </row>
    <row r="3" spans="1:2" x14ac:dyDescent="0.25">
      <c r="A3" s="29">
        <v>21.5</v>
      </c>
      <c r="B3" s="30">
        <v>2</v>
      </c>
    </row>
    <row r="4" spans="1:2" x14ac:dyDescent="0.25">
      <c r="A4" s="29">
        <v>24.5</v>
      </c>
      <c r="B4" s="30">
        <v>0</v>
      </c>
    </row>
    <row r="5" spans="1:2" x14ac:dyDescent="0.25">
      <c r="A5" s="29">
        <v>27.5</v>
      </c>
      <c r="B5" s="30">
        <v>2</v>
      </c>
    </row>
    <row r="6" spans="1:2" x14ac:dyDescent="0.25">
      <c r="A6" s="29">
        <v>30.5</v>
      </c>
      <c r="B6" s="30">
        <v>2</v>
      </c>
    </row>
    <row r="7" spans="1:2" x14ac:dyDescent="0.25">
      <c r="A7" s="29">
        <v>33.5</v>
      </c>
      <c r="B7" s="30">
        <v>0</v>
      </c>
    </row>
    <row r="8" spans="1:2" x14ac:dyDescent="0.25">
      <c r="A8" s="29">
        <v>36.5</v>
      </c>
      <c r="B8" s="30">
        <v>0</v>
      </c>
    </row>
    <row r="9" spans="1:2" x14ac:dyDescent="0.25">
      <c r="A9" s="29">
        <v>39.5</v>
      </c>
      <c r="B9" s="30">
        <v>0</v>
      </c>
    </row>
    <row r="10" spans="1:2" x14ac:dyDescent="0.25">
      <c r="A10" s="29">
        <v>42.5</v>
      </c>
      <c r="B10" s="30">
        <v>0</v>
      </c>
    </row>
    <row r="11" spans="1:2" x14ac:dyDescent="0.25">
      <c r="A11" s="29">
        <v>45.5</v>
      </c>
      <c r="B11" s="30">
        <v>0</v>
      </c>
    </row>
    <row r="12" spans="1:2" ht="15.75" thickBot="1" x14ac:dyDescent="0.3">
      <c r="A12" s="31" t="s">
        <v>69</v>
      </c>
      <c r="B12" s="31">
        <v>0</v>
      </c>
    </row>
  </sheetData>
  <sortState ref="A2:A11">
    <sortCondition ref="A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Q27" sqref="Q27"/>
    </sheetView>
  </sheetViews>
  <sheetFormatPr defaultRowHeight="15" x14ac:dyDescent="0.25"/>
  <sheetData>
    <row r="1" spans="1:9" x14ac:dyDescent="0.25">
      <c r="A1" s="27" t="s">
        <v>66</v>
      </c>
      <c r="B1" s="28"/>
      <c r="C1" s="1"/>
      <c r="D1" s="22" t="s">
        <v>71</v>
      </c>
      <c r="E1" s="22" t="s">
        <v>67</v>
      </c>
    </row>
    <row r="2" spans="1:9" x14ac:dyDescent="0.25">
      <c r="A2" s="22">
        <v>17</v>
      </c>
      <c r="B2" s="22">
        <v>20</v>
      </c>
      <c r="C2" s="1"/>
      <c r="D2" s="22">
        <v>17</v>
      </c>
      <c r="E2" s="22">
        <f>(A2+B2)/2</f>
        <v>18.5</v>
      </c>
    </row>
    <row r="3" spans="1:9" x14ac:dyDescent="0.25">
      <c r="A3" s="22">
        <v>20</v>
      </c>
      <c r="B3" s="22">
        <v>23</v>
      </c>
      <c r="C3" s="1"/>
      <c r="D3" s="22">
        <v>19</v>
      </c>
      <c r="E3" s="22">
        <f>(A3+B3)/2</f>
        <v>21.5</v>
      </c>
    </row>
    <row r="4" spans="1:9" x14ac:dyDescent="0.25">
      <c r="A4" s="22">
        <v>23</v>
      </c>
      <c r="B4" s="22">
        <v>26</v>
      </c>
      <c r="C4" s="1"/>
      <c r="D4" s="22">
        <v>28</v>
      </c>
      <c r="E4" s="22">
        <f>(A4+B4)/2</f>
        <v>24.5</v>
      </c>
    </row>
    <row r="5" spans="1:9" x14ac:dyDescent="0.25">
      <c r="A5" s="22">
        <v>26</v>
      </c>
      <c r="B5" s="22">
        <v>29</v>
      </c>
      <c r="C5" s="1"/>
      <c r="D5" s="22">
        <v>29</v>
      </c>
      <c r="E5" s="22">
        <f>(A5+B5)/2</f>
        <v>27.5</v>
      </c>
    </row>
    <row r="6" spans="1:9" x14ac:dyDescent="0.25">
      <c r="A6" s="22">
        <v>29</v>
      </c>
      <c r="B6" s="22">
        <v>32</v>
      </c>
      <c r="C6" s="1"/>
      <c r="D6" s="22">
        <v>27</v>
      </c>
      <c r="E6" s="22">
        <f>(A6+B6)/2</f>
        <v>30.5</v>
      </c>
    </row>
    <row r="7" spans="1:9" x14ac:dyDescent="0.25">
      <c r="A7" s="22">
        <v>32</v>
      </c>
      <c r="B7" s="22">
        <v>35</v>
      </c>
      <c r="C7" s="1"/>
      <c r="D7" s="22">
        <v>25</v>
      </c>
      <c r="E7" s="22">
        <f>(A7+B7)/2</f>
        <v>33.5</v>
      </c>
    </row>
    <row r="8" spans="1:9" x14ac:dyDescent="0.25">
      <c r="A8" s="22">
        <v>35</v>
      </c>
      <c r="B8" s="22">
        <v>38</v>
      </c>
      <c r="C8" s="1"/>
      <c r="D8" s="22">
        <v>20</v>
      </c>
      <c r="E8" s="22">
        <f>(A8+B8)/2</f>
        <v>36.5</v>
      </c>
    </row>
    <row r="9" spans="1:9" x14ac:dyDescent="0.25">
      <c r="A9" s="22">
        <v>38</v>
      </c>
      <c r="B9" s="22">
        <v>41</v>
      </c>
      <c r="C9" s="1"/>
      <c r="D9" s="22">
        <v>13</v>
      </c>
      <c r="E9" s="22">
        <f>(A9+B9)/2</f>
        <v>39.5</v>
      </c>
    </row>
    <row r="10" spans="1:9" x14ac:dyDescent="0.25">
      <c r="A10" s="22">
        <v>41</v>
      </c>
      <c r="B10" s="22">
        <v>44</v>
      </c>
      <c r="C10" s="1"/>
      <c r="D10" s="22">
        <v>7</v>
      </c>
      <c r="E10" s="22">
        <f>(A10+B10)/2</f>
        <v>42.5</v>
      </c>
    </row>
    <row r="11" spans="1:9" x14ac:dyDescent="0.25">
      <c r="A11" s="22">
        <v>44</v>
      </c>
      <c r="B11" s="22">
        <v>47</v>
      </c>
      <c r="C11" s="1"/>
      <c r="D11" s="22">
        <v>5</v>
      </c>
      <c r="E11" s="22">
        <f>(A11+B11)/2</f>
        <v>45.5</v>
      </c>
      <c r="I11" t="s">
        <v>72</v>
      </c>
    </row>
    <row r="12" spans="1:9" x14ac:dyDescent="0.25">
      <c r="A12" s="1"/>
      <c r="B12" s="1"/>
      <c r="C12" s="1"/>
      <c r="D12" s="1"/>
      <c r="E12" s="1"/>
      <c r="F12" s="1"/>
    </row>
    <row r="13" spans="1:9" x14ac:dyDescent="0.25">
      <c r="A13" s="22" t="s">
        <v>65</v>
      </c>
      <c r="B13" s="1"/>
      <c r="C13" s="1"/>
      <c r="D13" s="1"/>
      <c r="E13" s="1"/>
      <c r="F13" s="1"/>
    </row>
    <row r="14" spans="1:9" x14ac:dyDescent="0.25">
      <c r="A14" s="22" t="s">
        <v>64</v>
      </c>
      <c r="B14" s="1"/>
      <c r="C14" s="1"/>
      <c r="D14" s="1"/>
      <c r="E14" s="1"/>
      <c r="F14" s="1"/>
    </row>
    <row r="33" spans="14:14" x14ac:dyDescent="0.25">
      <c r="N33">
        <v>16</v>
      </c>
    </row>
  </sheetData>
  <mergeCells count="1">
    <mergeCell ref="A1:B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COLETA 1_1</vt:lpstr>
      <vt:lpstr>COLETA 1_2</vt:lpstr>
      <vt:lpstr>COLETA 2_1</vt:lpstr>
      <vt:lpstr>COLETA 2_2</vt:lpstr>
      <vt:lpstr>EXERCICIO</vt:lpstr>
      <vt:lpstr>CORRELAÇÃO</vt:lpstr>
      <vt:lpstr>Sheet5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Diniz</dc:creator>
  <cp:lastModifiedBy>José Diniz</cp:lastModifiedBy>
  <cp:lastPrinted>2018-03-16T03:09:20Z</cp:lastPrinted>
  <dcterms:created xsi:type="dcterms:W3CDTF">2018-03-03T16:23:23Z</dcterms:created>
  <dcterms:modified xsi:type="dcterms:W3CDTF">2018-03-16T03:22:15Z</dcterms:modified>
</cp:coreProperties>
</file>