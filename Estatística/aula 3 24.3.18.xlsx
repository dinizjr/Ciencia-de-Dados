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iência de Dados\"/>
    </mc:Choice>
  </mc:AlternateContent>
  <bookViews>
    <workbookView xWindow="0" yWindow="0" windowWidth="19200" windowHeight="11370" activeTab="3"/>
  </bookViews>
  <sheets>
    <sheet name="Amostra" sheetId="1" r:id="rId1"/>
    <sheet name="Teste t para uma amostra" sheetId="2" r:id="rId2"/>
    <sheet name="Teste t para duas amostras" sheetId="3" r:id="rId3"/>
    <sheet name="Teste Qui quadrado" sheetId="4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4" l="1"/>
  <c r="D3" i="4"/>
  <c r="D4" i="4"/>
  <c r="D5" i="4"/>
  <c r="D6" i="4"/>
  <c r="D2" i="4"/>
  <c r="C7" i="4"/>
  <c r="C3" i="4"/>
  <c r="C4" i="4"/>
  <c r="C5" i="4"/>
  <c r="C6" i="4"/>
  <c r="C2" i="4"/>
  <c r="B7" i="4"/>
  <c r="A7" i="4"/>
  <c r="H4" i="3"/>
  <c r="J4" i="3"/>
  <c r="F4" i="3"/>
  <c r="F2" i="3"/>
  <c r="F3" i="3"/>
  <c r="G4" i="2"/>
  <c r="G3" i="2"/>
  <c r="G2" i="2"/>
  <c r="C1" i="1"/>
</calcChain>
</file>

<file path=xl/sharedStrings.xml><?xml version="1.0" encoding="utf-8"?>
<sst xmlns="http://schemas.openxmlformats.org/spreadsheetml/2006/main" count="42" uniqueCount="36">
  <si>
    <t>n</t>
  </si>
  <si>
    <t>z</t>
  </si>
  <si>
    <t>dp</t>
  </si>
  <si>
    <t>e</t>
  </si>
  <si>
    <t>?</t>
  </si>
  <si>
    <t>IC</t>
  </si>
  <si>
    <t>tc</t>
  </si>
  <si>
    <t>x(média)</t>
  </si>
  <si>
    <t>dp(desvio)</t>
  </si>
  <si>
    <t>n(dados)</t>
  </si>
  <si>
    <t>x'(pontodesestudo)</t>
  </si>
  <si>
    <t>erro</t>
  </si>
  <si>
    <t>teste t</t>
  </si>
  <si>
    <t>intervalo de confiança</t>
  </si>
  <si>
    <t>z(confiança 95%)</t>
  </si>
  <si>
    <t>x1</t>
  </si>
  <si>
    <t>x2</t>
  </si>
  <si>
    <t>v1</t>
  </si>
  <si>
    <t>v2</t>
  </si>
  <si>
    <t>n1</t>
  </si>
  <si>
    <t>n2</t>
  </si>
  <si>
    <t>número de amostra</t>
  </si>
  <si>
    <t>variância</t>
  </si>
  <si>
    <t>período</t>
  </si>
  <si>
    <t>GL</t>
  </si>
  <si>
    <t>período/valor médio</t>
  </si>
  <si>
    <t>estimativa das médias</t>
  </si>
  <si>
    <t>&lt;</t>
  </si>
  <si>
    <t>confiança 95%</t>
  </si>
  <si>
    <t>exercícios produção e páscoa</t>
  </si>
  <si>
    <t>exercício  tamanho da peça</t>
  </si>
  <si>
    <t>exercício empresa</t>
  </si>
  <si>
    <t>O</t>
  </si>
  <si>
    <t>E</t>
  </si>
  <si>
    <t>O-E^2</t>
  </si>
  <si>
    <t>XC = O-E^2/E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</si>
</sst>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0" xfId="0" applyFont="1"/>
    <xf numFmtId="0" fontId="0" fillId="0" borderId="1" xfId="0" applyFont="1" applyBorder="1"/>
    <xf numFmtId="0" fontId="0" fillId="0" borderId="1" xfId="0" applyFill="1" applyBorder="1"/>
    <xf numFmtId="0" fontId="0" fillId="0" borderId="4" xfId="0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A7" sqref="A7"/>
    </sheetView>
  </sheetViews>
  <sheetFormatPr defaultRowHeight="15" x14ac:dyDescent="0.25"/>
  <sheetData>
    <row r="1" spans="1:6" x14ac:dyDescent="0.25">
      <c r="A1" s="2" t="s">
        <v>0</v>
      </c>
      <c r="B1" s="2" t="s">
        <v>4</v>
      </c>
      <c r="C1" s="2">
        <f>((C2*B3)/B4)^2</f>
        <v>9.7738504155124684</v>
      </c>
      <c r="D1" s="1"/>
      <c r="E1" s="3">
        <v>0.95</v>
      </c>
      <c r="F1" s="2">
        <v>1.96</v>
      </c>
    </row>
    <row r="2" spans="1:6" x14ac:dyDescent="0.25">
      <c r="A2" s="2" t="s">
        <v>1</v>
      </c>
      <c r="B2" s="3">
        <v>0.95</v>
      </c>
      <c r="C2" s="2">
        <v>2</v>
      </c>
      <c r="D2" s="1"/>
      <c r="E2" s="9">
        <v>0.95499999999999996</v>
      </c>
      <c r="F2" s="8">
        <v>2</v>
      </c>
    </row>
    <row r="3" spans="1:6" x14ac:dyDescent="0.25">
      <c r="A3" s="2" t="s">
        <v>2</v>
      </c>
      <c r="B3" s="5">
        <v>2.97</v>
      </c>
      <c r="C3" s="6"/>
      <c r="D3" s="1"/>
      <c r="E3" s="3">
        <v>0.99</v>
      </c>
      <c r="F3" s="2">
        <v>2.58</v>
      </c>
    </row>
    <row r="4" spans="1:6" x14ac:dyDescent="0.25">
      <c r="A4" s="2" t="s">
        <v>3</v>
      </c>
      <c r="B4" s="5">
        <v>1.9</v>
      </c>
      <c r="C4" s="6"/>
      <c r="D4" s="1"/>
      <c r="E4" s="9">
        <v>0.99739999999999995</v>
      </c>
      <c r="F4" s="2">
        <v>3</v>
      </c>
    </row>
    <row r="6" spans="1:6" x14ac:dyDescent="0.25">
      <c r="A6" s="7" t="s">
        <v>31</v>
      </c>
    </row>
  </sheetData>
  <mergeCells count="2">
    <mergeCell ref="B3:C3"/>
    <mergeCell ref="B4:C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8"/>
  <sheetViews>
    <sheetView workbookViewId="0">
      <selection activeCell="A9" sqref="A9"/>
    </sheetView>
  </sheetViews>
  <sheetFormatPr defaultRowHeight="15" x14ac:dyDescent="0.25"/>
  <cols>
    <col min="1" max="1" width="18.7109375" bestFit="1" customWidth="1"/>
    <col min="5" max="5" width="20.85546875" bestFit="1" customWidth="1"/>
  </cols>
  <sheetData>
    <row r="2" spans="1:7" x14ac:dyDescent="0.25">
      <c r="A2" s="4" t="s">
        <v>7</v>
      </c>
      <c r="B2" s="4">
        <v>78.53</v>
      </c>
      <c r="E2" s="4" t="s">
        <v>13</v>
      </c>
      <c r="F2" s="4" t="s">
        <v>5</v>
      </c>
      <c r="G2" s="4">
        <f>B2+((B3*B4)/SQRT(B5))</f>
        <v>79.850128052018249</v>
      </c>
    </row>
    <row r="3" spans="1:7" x14ac:dyDescent="0.25">
      <c r="A3" s="4" t="s">
        <v>14</v>
      </c>
      <c r="B3" s="4">
        <v>1.96</v>
      </c>
      <c r="E3" s="4" t="s">
        <v>11</v>
      </c>
      <c r="F3" s="4" t="s">
        <v>3</v>
      </c>
      <c r="G3" s="4">
        <f>(B3*B4)/(SQRT(B5))</f>
        <v>1.3201280520182461</v>
      </c>
    </row>
    <row r="4" spans="1:7" x14ac:dyDescent="0.25">
      <c r="A4" s="4" t="s">
        <v>8</v>
      </c>
      <c r="B4" s="4">
        <v>4.8099999999999996</v>
      </c>
      <c r="E4" s="4" t="s">
        <v>12</v>
      </c>
      <c r="F4" s="4" t="s">
        <v>6</v>
      </c>
      <c r="G4" s="4">
        <f>(B6-B2)/(B4/SQRT(B5))</f>
        <v>-1.0689872075989282</v>
      </c>
    </row>
    <row r="5" spans="1:7" x14ac:dyDescent="0.25">
      <c r="A5" s="11" t="s">
        <v>9</v>
      </c>
      <c r="B5" s="4">
        <v>51</v>
      </c>
    </row>
    <row r="6" spans="1:7" x14ac:dyDescent="0.25">
      <c r="A6" s="4" t="s">
        <v>10</v>
      </c>
      <c r="B6" s="4">
        <v>77.81</v>
      </c>
    </row>
    <row r="7" spans="1:7" x14ac:dyDescent="0.25">
      <c r="G7" s="10"/>
    </row>
    <row r="8" spans="1:7" x14ac:dyDescent="0.25">
      <c r="A8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"/>
  <sheetViews>
    <sheetView workbookViewId="0">
      <selection activeCell="A13" sqref="A13"/>
    </sheetView>
  </sheetViews>
  <sheetFormatPr defaultRowHeight="15" x14ac:dyDescent="0.25"/>
  <cols>
    <col min="1" max="1" width="19.5703125" bestFit="1" customWidth="1"/>
    <col min="5" max="5" width="20.85546875" bestFit="1" customWidth="1"/>
    <col min="7" max="7" width="1.85546875" customWidth="1"/>
    <col min="9" max="9" width="2.140625" customWidth="1"/>
  </cols>
  <sheetData>
    <row r="2" spans="1:12" x14ac:dyDescent="0.25">
      <c r="A2" s="4" t="s">
        <v>23</v>
      </c>
      <c r="B2" s="4" t="s">
        <v>15</v>
      </c>
      <c r="C2" s="4">
        <v>154.30000000000001</v>
      </c>
      <c r="E2" s="4" t="s">
        <v>6</v>
      </c>
      <c r="F2" s="4">
        <f>(C2-C5)/(SQRT((C3/C4)+(C6/C7)))</f>
        <v>-5.5361731635509459</v>
      </c>
    </row>
    <row r="3" spans="1:12" x14ac:dyDescent="0.25">
      <c r="A3" s="4" t="s">
        <v>22</v>
      </c>
      <c r="B3" s="4" t="s">
        <v>17</v>
      </c>
      <c r="C3" s="4">
        <v>535.69000000000005</v>
      </c>
      <c r="E3" s="13" t="s">
        <v>24</v>
      </c>
      <c r="F3" s="13">
        <f>C4+C7-2</f>
        <v>100</v>
      </c>
    </row>
    <row r="4" spans="1:12" x14ac:dyDescent="0.25">
      <c r="A4" s="4" t="s">
        <v>21</v>
      </c>
      <c r="B4" s="4" t="s">
        <v>19</v>
      </c>
      <c r="C4" s="4">
        <v>61</v>
      </c>
      <c r="E4" s="4" t="s">
        <v>26</v>
      </c>
      <c r="F4" s="2">
        <f>(C5-C2)-(C8*(SQRT((C3/C4)+(C6/C7))))</f>
        <v>18.649004679162552</v>
      </c>
      <c r="G4" s="2" t="s">
        <v>27</v>
      </c>
      <c r="H4" s="2">
        <f>C5-C2</f>
        <v>28.869999999999976</v>
      </c>
      <c r="I4" s="2" t="s">
        <v>27</v>
      </c>
      <c r="J4" s="2">
        <f>(C5-C2)+(C8*(SQRT((C3/C4)+(C6/C7))))</f>
        <v>39.090995320837401</v>
      </c>
    </row>
    <row r="5" spans="1:12" x14ac:dyDescent="0.25">
      <c r="A5" s="4" t="s">
        <v>25</v>
      </c>
      <c r="B5" s="4" t="s">
        <v>16</v>
      </c>
      <c r="C5" s="4">
        <v>183.17</v>
      </c>
    </row>
    <row r="6" spans="1:12" x14ac:dyDescent="0.25">
      <c r="A6" s="4" t="s">
        <v>22</v>
      </c>
      <c r="B6" s="4" t="s">
        <v>18</v>
      </c>
      <c r="C6" s="4">
        <v>754.90300000000002</v>
      </c>
    </row>
    <row r="7" spans="1:12" x14ac:dyDescent="0.25">
      <c r="A7" s="4" t="s">
        <v>21</v>
      </c>
      <c r="B7" s="4" t="s">
        <v>20</v>
      </c>
      <c r="C7" s="4">
        <v>41</v>
      </c>
    </row>
    <row r="8" spans="1:12" x14ac:dyDescent="0.25">
      <c r="A8" s="4" t="s">
        <v>28</v>
      </c>
      <c r="B8" s="12" t="s">
        <v>1</v>
      </c>
      <c r="C8" s="12">
        <v>1.96</v>
      </c>
    </row>
    <row r="10" spans="1:12" x14ac:dyDescent="0.25">
      <c r="A10" t="s">
        <v>29</v>
      </c>
    </row>
    <row r="11" spans="1:12" x14ac:dyDescent="0.25">
      <c r="K11" s="14"/>
      <c r="L11" s="10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G16" sqref="G16"/>
    </sheetView>
  </sheetViews>
  <sheetFormatPr defaultRowHeight="15" x14ac:dyDescent="0.25"/>
  <cols>
    <col min="4" max="4" width="12.140625" bestFit="1" customWidth="1"/>
  </cols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8</v>
      </c>
      <c r="B2">
        <v>2.4</v>
      </c>
      <c r="C2">
        <f>(A2-B2)^2</f>
        <v>31.359999999999996</v>
      </c>
      <c r="D2">
        <f>((A2-B2)^2)/B2</f>
        <v>13.066666666666665</v>
      </c>
    </row>
    <row r="3" spans="1:4" x14ac:dyDescent="0.25">
      <c r="A3">
        <v>43</v>
      </c>
      <c r="B3">
        <v>38.4</v>
      </c>
      <c r="C3">
        <f t="shared" ref="C3:C6" si="0">(A3-B3)^2</f>
        <v>21.160000000000014</v>
      </c>
      <c r="D3">
        <f t="shared" ref="D3:D6" si="1">((A3-B3)^2)/B3</f>
        <v>0.5510416666666671</v>
      </c>
    </row>
    <row r="4" spans="1:4" x14ac:dyDescent="0.25">
      <c r="A4">
        <v>50</v>
      </c>
      <c r="B4">
        <v>51.6</v>
      </c>
      <c r="C4">
        <f t="shared" si="0"/>
        <v>2.5600000000000045</v>
      </c>
      <c r="D4">
        <f t="shared" si="1"/>
        <v>4.9612403100775276E-2</v>
      </c>
    </row>
    <row r="5" spans="1:4" x14ac:dyDescent="0.25">
      <c r="A5">
        <v>17</v>
      </c>
      <c r="B5">
        <v>18</v>
      </c>
      <c r="C5">
        <f t="shared" si="0"/>
        <v>1</v>
      </c>
      <c r="D5">
        <f t="shared" si="1"/>
        <v>5.5555555555555552E-2</v>
      </c>
    </row>
    <row r="6" spans="1:4" x14ac:dyDescent="0.25">
      <c r="A6">
        <v>2</v>
      </c>
      <c r="B6">
        <v>9.6</v>
      </c>
      <c r="C6">
        <f t="shared" si="0"/>
        <v>57.76</v>
      </c>
      <c r="D6">
        <f t="shared" si="1"/>
        <v>6.0166666666666666</v>
      </c>
    </row>
    <row r="7" spans="1:4" x14ac:dyDescent="0.25">
      <c r="A7">
        <f>SUM(A2:A6)</f>
        <v>120</v>
      </c>
      <c r="B7">
        <f>SUM(B2:B6)</f>
        <v>120</v>
      </c>
      <c r="C7">
        <f>SUM(C2:C6)</f>
        <v>113.84</v>
      </c>
      <c r="D7">
        <f>SUM(D2:D6)</f>
        <v>19.73954295865633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Amostra</vt:lpstr>
      <vt:lpstr>Teste t para uma amostra</vt:lpstr>
      <vt:lpstr>Teste t para duas amostras</vt:lpstr>
      <vt:lpstr>Teste Qui quadrado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DINIZ JUNIOR</dc:creator>
  <cp:lastModifiedBy>JOSE DINIZ JUNIOR</cp:lastModifiedBy>
  <dcterms:created xsi:type="dcterms:W3CDTF">2018-03-24T13:37:47Z</dcterms:created>
  <dcterms:modified xsi:type="dcterms:W3CDTF">2018-03-24T20:08:56Z</dcterms:modified>
</cp:coreProperties>
</file>