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os\Ciência de Dados\"/>
    </mc:Choice>
  </mc:AlternateContent>
  <bookViews>
    <workbookView xWindow="240" yWindow="60" windowWidth="20115" windowHeight="8010"/>
  </bookViews>
  <sheets>
    <sheet name="correlação" sheetId="1" r:id="rId1"/>
    <sheet name="Sheet1" sheetId="4" r:id="rId2"/>
    <sheet name="estatística descritiva" sheetId="2" r:id="rId3"/>
    <sheet name="atributo Z e IC" sheetId="3" r:id="rId4"/>
  </sheets>
  <calcPr calcId="162913"/>
</workbook>
</file>

<file path=xl/calcChain.xml><?xml version="1.0" encoding="utf-8"?>
<calcChain xmlns="http://schemas.openxmlformats.org/spreadsheetml/2006/main">
  <c r="P35" i="2" l="1"/>
  <c r="D14" i="2" l="1"/>
  <c r="D13" i="2"/>
  <c r="Q18" i="1" l="1"/>
  <c r="O18" i="1"/>
  <c r="G22" i="1" l="1"/>
  <c r="G23" i="1" s="1"/>
</calcChain>
</file>

<file path=xl/sharedStrings.xml><?xml version="1.0" encoding="utf-8"?>
<sst xmlns="http://schemas.openxmlformats.org/spreadsheetml/2006/main" count="120" uniqueCount="84">
  <si>
    <t xml:space="preserve">datas </t>
  </si>
  <si>
    <t xml:space="preserve">Coleta de dados da empresa FACENS - </t>
  </si>
  <si>
    <t>Coleta mensal prod. Unid.</t>
  </si>
  <si>
    <t>peças refugadas média dia</t>
  </si>
  <si>
    <t xml:space="preserve">Calcule a estatística descritiva para as colunas em estudo </t>
  </si>
  <si>
    <t xml:space="preserve">1) </t>
  </si>
  <si>
    <t>2)</t>
  </si>
  <si>
    <t>faça a correlação e co  CR ( R)</t>
  </si>
  <si>
    <t>3)</t>
  </si>
  <si>
    <t>Analise os dados com as nossa prerrogativas</t>
  </si>
  <si>
    <t>4)</t>
  </si>
  <si>
    <t xml:space="preserve">Faça a regressão </t>
  </si>
  <si>
    <t xml:space="preserve">5) </t>
  </si>
  <si>
    <t>O diretor da empresa tem o planejamento para abril 2017</t>
  </si>
  <si>
    <t xml:space="preserve">produção mensal  - 515 peças </t>
  </si>
  <si>
    <t xml:space="preserve">Ele determina que as peças refugadas deve ser de no máximo 4,8 refugadas </t>
  </si>
  <si>
    <t>por dia  - faça seus cálculos e conclusões</t>
  </si>
  <si>
    <t xml:space="preserve">6) </t>
  </si>
  <si>
    <t xml:space="preserve">Faça alguns gráficos para auxiliar a sua conclusão </t>
  </si>
  <si>
    <t>7)</t>
  </si>
  <si>
    <t>Há possibilidade de chegar neste planejamento?  Quais os riscos ?</t>
  </si>
  <si>
    <t>(melhore a apresentação utilize qualquer softwe para te dar a melhor apresentação )</t>
  </si>
  <si>
    <t>1)</t>
  </si>
  <si>
    <t>Analise os dados abaixo</t>
  </si>
  <si>
    <t xml:space="preserve">média </t>
  </si>
  <si>
    <t>desvpad</t>
  </si>
  <si>
    <t>N</t>
  </si>
  <si>
    <t>curtose</t>
  </si>
  <si>
    <t>Ass.</t>
  </si>
  <si>
    <t>dados</t>
  </si>
  <si>
    <t xml:space="preserve">Faça a curva Gauss-laplace e analise os dados </t>
  </si>
  <si>
    <t xml:space="preserve">2) </t>
  </si>
  <si>
    <t xml:space="preserve">Escolha uma amostra de 30 dados a sua escolha </t>
  </si>
  <si>
    <t xml:space="preserve">faça um histograma </t>
  </si>
  <si>
    <t xml:space="preserve">Analise os dados </t>
  </si>
  <si>
    <t>faça a estatística descritiva</t>
  </si>
  <si>
    <t>sandálias de plástico a preços acessíveis, como por estratégia deseja utilizar a cidade de Sorocaba essa pesquisa demosntrou que :</t>
  </si>
  <si>
    <t>a) faça a curva Gauss vista em sala de aula</t>
  </si>
  <si>
    <t xml:space="preserve">A empresa deseja fabricar para este público 10.000 pares </t>
  </si>
  <si>
    <t>b) Quantos pares devem ser fabricados até o número 35 ?</t>
  </si>
  <si>
    <t>c) quantos pares devem ser fabricado acima do número 42 ?</t>
  </si>
  <si>
    <t>d) quantos pares devem ser fabricados abaixo d0 número 27?</t>
  </si>
  <si>
    <t xml:space="preserve">e) Quantos pares devem ser fabricados entre 29 a 40 ? </t>
  </si>
  <si>
    <t xml:space="preserve">2) Uma empresa fabricante de baterias para nootebook sabe que a bateria para o modelo FEDHora, tem durabilidade média de 26.500 horas e desvio padrão de 1.380 horas </t>
  </si>
  <si>
    <t>esse estudo é realizado com dados contínuos e pela devolução das mesmas e dados extraídos em laboratório .</t>
  </si>
  <si>
    <t>A empresa deseja saber:</t>
  </si>
  <si>
    <t>a) Qual a probabilidade de uma  bateria ter durabilidade de até 25.000 horas ?</t>
  </si>
  <si>
    <t xml:space="preserve">b) Se a empresa fabrica 25.000.000 de baterias quantas baterias aproximadamente devem ser fabricadas abaixo 22.360 horas ? </t>
  </si>
  <si>
    <t>c) se a empresa fabrica 25.000.000 de baterias quantas baterias podem ter durabilidade acima de 30.640 horas ?</t>
  </si>
  <si>
    <t xml:space="preserve">d) faça a curva de Gauss Laplace </t>
  </si>
  <si>
    <t>c) para uma amostra de 25 baterias em um dia específico para testar sua resistência, qual deve ser o intervalo de confiaça aceito para essa amostra?</t>
  </si>
  <si>
    <t>f) Faça o Intervalo  de confiaça para esses dados ( somente para uma amostra na cidade de Salto de Pirapora - N=50</t>
  </si>
  <si>
    <t xml:space="preserve">1) A empresa TOPCENS realizou uma pesquisa justa com uma amostragem justa e margem de erro de 5%, na região de Sorocaba com 450 pessoas para vender um novo produto </t>
  </si>
  <si>
    <t xml:space="preserve">450 pessoas  =  média do número das sandálias - 34,8 média , desvio padrão = 2,73. </t>
  </si>
  <si>
    <t xml:space="preserve">Exercícios básicos </t>
  </si>
  <si>
    <t>Aproveite para lembrar conceitos</t>
  </si>
  <si>
    <t>faça gráficos e/ou melhoramentos!</t>
  </si>
  <si>
    <t>CORRELAÇÃO</t>
  </si>
  <si>
    <t>COEFICIENTE DE DETERMINAÇÃO</t>
  </si>
  <si>
    <t>y = 0,0101x - 0,0788</t>
  </si>
  <si>
    <t>DISPERSÃO</t>
  </si>
  <si>
    <t>Y=0,0101*515-0,0788</t>
  </si>
  <si>
    <t>Y=5,1227</t>
  </si>
  <si>
    <t>4.7</t>
  </si>
  <si>
    <t>5.6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</si>
  <si>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</si>
  <si>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</si>
  <si>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</si>
  <si>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</si>
  <si>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</si>
  <si>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</si>
  <si>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</si>
  <si>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</si>
  <si>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</si>
  <si>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</si>
  <si>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</si>
  <si>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</si>
  <si>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</si>
  <si>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Nível de confiança(95,0%)</t>
  </si>
  <si>
    <t>CV</t>
  </si>
  <si>
    <t xml:space="preserve">cv </t>
  </si>
  <si>
    <t>variância</t>
  </si>
  <si>
    <t>Coeficiente de variação</t>
  </si>
  <si>
    <t>Dados Coletados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</si>
</sst>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" fontId="0" fillId="0" borderId="4" xfId="0" applyNumberFormat="1" applyBorder="1"/>
    <xf numFmtId="17" fontId="0" fillId="0" borderId="6" xfId="0" applyNumberFormat="1" applyBorder="1"/>
    <xf numFmtId="0" fontId="0" fillId="2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0" borderId="0" xfId="0" applyFill="1" applyBorder="1" applyAlignment="1"/>
    <xf numFmtId="0" fontId="0" fillId="0" borderId="7" xfId="0" applyFill="1" applyBorder="1" applyAlignment="1"/>
    <xf numFmtId="0" fontId="2" fillId="0" borderId="12" xfId="0" applyFont="1" applyFill="1" applyBorder="1" applyAlignment="1">
      <alignment horizontal="center"/>
    </xf>
    <xf numFmtId="9" fontId="0" fillId="0" borderId="0" xfId="1" applyFont="1"/>
    <xf numFmtId="0" fontId="0" fillId="0" borderId="5" xfId="0" applyFill="1" applyBorder="1"/>
    <xf numFmtId="17" fontId="0" fillId="0" borderId="9" xfId="0" applyNumberFormat="1" applyBorder="1"/>
    <xf numFmtId="0" fontId="0" fillId="0" borderId="10" xfId="0" applyFill="1" applyBorder="1"/>
    <xf numFmtId="0" fontId="0" fillId="0" borderId="11" xfId="0" applyFill="1" applyBorder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12" xfId="0" applyFont="1" applyFill="1" applyBorder="1" applyAlignment="1">
      <alignment horizontal="centerContinuous"/>
    </xf>
    <xf numFmtId="9" fontId="0" fillId="0" borderId="7" xfId="1" applyFont="1" applyBorder="1"/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4" xfId="0" applyFill="1" applyBorder="1" applyAlignment="1"/>
    <xf numFmtId="0" fontId="0" fillId="0" borderId="15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/>
    <xf numFmtId="9" fontId="0" fillId="0" borderId="16" xfId="1" applyFont="1" applyBorder="1"/>
    <xf numFmtId="0" fontId="0" fillId="0" borderId="16" xfId="0" applyBorder="1" applyAlignment="1">
      <alignment horizontal="center"/>
    </xf>
    <xf numFmtId="0" fontId="3" fillId="0" borderId="7" xfId="0" applyFont="1" applyBorder="1"/>
    <xf numFmtId="0" fontId="0" fillId="0" borderId="14" xfId="0" applyBorder="1"/>
    <xf numFmtId="0" fontId="0" fillId="0" borderId="17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Dispersão</a:t>
            </a:r>
          </a:p>
        </c:rich>
      </c:tx>
      <c:layout>
        <c:manualLayout>
          <c:xMode val="edge"/>
          <c:yMode val="edge"/>
          <c:x val="0.45374997749132451"/>
          <c:y val="1.94646226250896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5341105301184164E-2"/>
                  <c:y val="-5.016110359942380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correlação!$C$3:$C$101</c:f>
              <c:numCache>
                <c:formatCode>General</c:formatCode>
                <c:ptCount val="99"/>
                <c:pt idx="0">
                  <c:v>450</c:v>
                </c:pt>
                <c:pt idx="1">
                  <c:v>435</c:v>
                </c:pt>
                <c:pt idx="2">
                  <c:v>480</c:v>
                </c:pt>
                <c:pt idx="3">
                  <c:v>470</c:v>
                </c:pt>
                <c:pt idx="4">
                  <c:v>494</c:v>
                </c:pt>
                <c:pt idx="5">
                  <c:v>513</c:v>
                </c:pt>
                <c:pt idx="6">
                  <c:v>503</c:v>
                </c:pt>
                <c:pt idx="7">
                  <c:v>502</c:v>
                </c:pt>
                <c:pt idx="8">
                  <c:v>430</c:v>
                </c:pt>
                <c:pt idx="9">
                  <c:v>400</c:v>
                </c:pt>
                <c:pt idx="10">
                  <c:v>380</c:v>
                </c:pt>
                <c:pt idx="11">
                  <c:v>350</c:v>
                </c:pt>
                <c:pt idx="12">
                  <c:v>410</c:v>
                </c:pt>
                <c:pt idx="13">
                  <c:v>430</c:v>
                </c:pt>
                <c:pt idx="14">
                  <c:v>470</c:v>
                </c:pt>
                <c:pt idx="15">
                  <c:v>489</c:v>
                </c:pt>
                <c:pt idx="16">
                  <c:v>507</c:v>
                </c:pt>
                <c:pt idx="17">
                  <c:v>499</c:v>
                </c:pt>
                <c:pt idx="18">
                  <c:v>477</c:v>
                </c:pt>
                <c:pt idx="19">
                  <c:v>429</c:v>
                </c:pt>
                <c:pt idx="20">
                  <c:v>400</c:v>
                </c:pt>
                <c:pt idx="21">
                  <c:v>420</c:v>
                </c:pt>
                <c:pt idx="22">
                  <c:v>399</c:v>
                </c:pt>
                <c:pt idx="23">
                  <c:v>373</c:v>
                </c:pt>
                <c:pt idx="24">
                  <c:v>410</c:v>
                </c:pt>
                <c:pt idx="25">
                  <c:v>428</c:v>
                </c:pt>
                <c:pt idx="26">
                  <c:v>473</c:v>
                </c:pt>
                <c:pt idx="27">
                  <c:v>440</c:v>
                </c:pt>
                <c:pt idx="28">
                  <c:v>430</c:v>
                </c:pt>
                <c:pt idx="29">
                  <c:v>400</c:v>
                </c:pt>
                <c:pt idx="30">
                  <c:v>340</c:v>
                </c:pt>
                <c:pt idx="31">
                  <c:v>433</c:v>
                </c:pt>
                <c:pt idx="32">
                  <c:v>489</c:v>
                </c:pt>
                <c:pt idx="33">
                  <c:v>477</c:v>
                </c:pt>
                <c:pt idx="34">
                  <c:v>400</c:v>
                </c:pt>
                <c:pt idx="35">
                  <c:v>320</c:v>
                </c:pt>
                <c:pt idx="36">
                  <c:v>400</c:v>
                </c:pt>
                <c:pt idx="37">
                  <c:v>477</c:v>
                </c:pt>
                <c:pt idx="38">
                  <c:v>488</c:v>
                </c:pt>
                <c:pt idx="39">
                  <c:v>490</c:v>
                </c:pt>
                <c:pt idx="40">
                  <c:v>467</c:v>
                </c:pt>
                <c:pt idx="41">
                  <c:v>400</c:v>
                </c:pt>
                <c:pt idx="42">
                  <c:v>432</c:v>
                </c:pt>
                <c:pt idx="43">
                  <c:v>432</c:v>
                </c:pt>
                <c:pt idx="44">
                  <c:v>489</c:v>
                </c:pt>
                <c:pt idx="45">
                  <c:v>430</c:v>
                </c:pt>
                <c:pt idx="46">
                  <c:v>400</c:v>
                </c:pt>
                <c:pt idx="47">
                  <c:v>320</c:v>
                </c:pt>
                <c:pt idx="48">
                  <c:v>410</c:v>
                </c:pt>
                <c:pt idx="49">
                  <c:v>430</c:v>
                </c:pt>
                <c:pt idx="50">
                  <c:v>433</c:v>
                </c:pt>
                <c:pt idx="51">
                  <c:v>389</c:v>
                </c:pt>
                <c:pt idx="52">
                  <c:v>403</c:v>
                </c:pt>
                <c:pt idx="53">
                  <c:v>389</c:v>
                </c:pt>
                <c:pt idx="54">
                  <c:v>433</c:v>
                </c:pt>
                <c:pt idx="55">
                  <c:v>489</c:v>
                </c:pt>
                <c:pt idx="56">
                  <c:v>430</c:v>
                </c:pt>
                <c:pt idx="57">
                  <c:v>389</c:v>
                </c:pt>
                <c:pt idx="58">
                  <c:v>330</c:v>
                </c:pt>
                <c:pt idx="59">
                  <c:v>320</c:v>
                </c:pt>
                <c:pt idx="60">
                  <c:v>388</c:v>
                </c:pt>
                <c:pt idx="61">
                  <c:v>430</c:v>
                </c:pt>
                <c:pt idx="62">
                  <c:v>432</c:v>
                </c:pt>
                <c:pt idx="63">
                  <c:v>399</c:v>
                </c:pt>
                <c:pt idx="64">
                  <c:v>410</c:v>
                </c:pt>
                <c:pt idx="65">
                  <c:v>430</c:v>
                </c:pt>
                <c:pt idx="66">
                  <c:v>433</c:v>
                </c:pt>
                <c:pt idx="67">
                  <c:v>478</c:v>
                </c:pt>
                <c:pt idx="68">
                  <c:v>489</c:v>
                </c:pt>
                <c:pt idx="69">
                  <c:v>439</c:v>
                </c:pt>
                <c:pt idx="70">
                  <c:v>400</c:v>
                </c:pt>
                <c:pt idx="71">
                  <c:v>400</c:v>
                </c:pt>
                <c:pt idx="72">
                  <c:v>390</c:v>
                </c:pt>
                <c:pt idx="73">
                  <c:v>390</c:v>
                </c:pt>
                <c:pt idx="74">
                  <c:v>430</c:v>
                </c:pt>
                <c:pt idx="75">
                  <c:v>489</c:v>
                </c:pt>
                <c:pt idx="76">
                  <c:v>480</c:v>
                </c:pt>
                <c:pt idx="77">
                  <c:v>429</c:v>
                </c:pt>
                <c:pt idx="78">
                  <c:v>440</c:v>
                </c:pt>
                <c:pt idx="79">
                  <c:v>487</c:v>
                </c:pt>
                <c:pt idx="80">
                  <c:v>389</c:v>
                </c:pt>
                <c:pt idx="81">
                  <c:v>411</c:v>
                </c:pt>
                <c:pt idx="82">
                  <c:v>430</c:v>
                </c:pt>
                <c:pt idx="83">
                  <c:v>389</c:v>
                </c:pt>
                <c:pt idx="84">
                  <c:v>390</c:v>
                </c:pt>
                <c:pt idx="85">
                  <c:v>410</c:v>
                </c:pt>
                <c:pt idx="86">
                  <c:v>430</c:v>
                </c:pt>
                <c:pt idx="87">
                  <c:v>459</c:v>
                </c:pt>
                <c:pt idx="88">
                  <c:v>468</c:v>
                </c:pt>
                <c:pt idx="89">
                  <c:v>490</c:v>
                </c:pt>
                <c:pt idx="90">
                  <c:v>499</c:v>
                </c:pt>
                <c:pt idx="91">
                  <c:v>478</c:v>
                </c:pt>
                <c:pt idx="92">
                  <c:v>499</c:v>
                </c:pt>
                <c:pt idx="93">
                  <c:v>503</c:v>
                </c:pt>
                <c:pt idx="94">
                  <c:v>499</c:v>
                </c:pt>
                <c:pt idx="95">
                  <c:v>300</c:v>
                </c:pt>
                <c:pt idx="96">
                  <c:v>460</c:v>
                </c:pt>
                <c:pt idx="97">
                  <c:v>477</c:v>
                </c:pt>
                <c:pt idx="98">
                  <c:v>489</c:v>
                </c:pt>
              </c:numCache>
            </c:numRef>
          </c:xVal>
          <c:yVal>
            <c:numRef>
              <c:f>correlação!$D$3:$D$101</c:f>
              <c:numCache>
                <c:formatCode>General</c:formatCode>
                <c:ptCount val="99"/>
                <c:pt idx="0">
                  <c:v>4.5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4.8</c:v>
                </c:pt>
                <c:pt idx="4">
                  <c:v>5</c:v>
                </c:pt>
                <c:pt idx="5">
                  <c:v>5.2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4</c:v>
                </c:pt>
                <c:pt idx="9">
                  <c:v>4</c:v>
                </c:pt>
                <c:pt idx="10">
                  <c:v>3.9</c:v>
                </c:pt>
                <c:pt idx="11">
                  <c:v>3.1</c:v>
                </c:pt>
                <c:pt idx="12">
                  <c:v>4.5</c:v>
                </c:pt>
                <c:pt idx="13">
                  <c:v>4.5</c:v>
                </c:pt>
                <c:pt idx="14">
                  <c:v>4.9000000000000004</c:v>
                </c:pt>
                <c:pt idx="15">
                  <c:v>4.8</c:v>
                </c:pt>
                <c:pt idx="16">
                  <c:v>5.4</c:v>
                </c:pt>
                <c:pt idx="17">
                  <c:v>4.5999999999999996</c:v>
                </c:pt>
                <c:pt idx="18">
                  <c:v>4.4000000000000004</c:v>
                </c:pt>
                <c:pt idx="19">
                  <c:v>4.2</c:v>
                </c:pt>
                <c:pt idx="20">
                  <c:v>3.9</c:v>
                </c:pt>
                <c:pt idx="21">
                  <c:v>4.0999999999999996</c:v>
                </c:pt>
                <c:pt idx="22">
                  <c:v>3.8</c:v>
                </c:pt>
                <c:pt idx="23">
                  <c:v>3.5</c:v>
                </c:pt>
                <c:pt idx="24">
                  <c:v>4</c:v>
                </c:pt>
                <c:pt idx="25">
                  <c:v>4.0999999999999996</c:v>
                </c:pt>
                <c:pt idx="26">
                  <c:v>4.4000000000000004</c:v>
                </c:pt>
                <c:pt idx="27">
                  <c:v>4.5</c:v>
                </c:pt>
                <c:pt idx="28">
                  <c:v>4.2</c:v>
                </c:pt>
                <c:pt idx="29">
                  <c:v>4.0999999999999996</c:v>
                </c:pt>
                <c:pt idx="30">
                  <c:v>3.3</c:v>
                </c:pt>
                <c:pt idx="31">
                  <c:v>4.4000000000000004</c:v>
                </c:pt>
                <c:pt idx="32">
                  <c:v>4.7</c:v>
                </c:pt>
                <c:pt idx="33">
                  <c:v>4.8</c:v>
                </c:pt>
                <c:pt idx="34">
                  <c:v>4.0999999999999996</c:v>
                </c:pt>
                <c:pt idx="35">
                  <c:v>3</c:v>
                </c:pt>
                <c:pt idx="36">
                  <c:v>4.0999999999999996</c:v>
                </c:pt>
                <c:pt idx="37">
                  <c:v>4.5999999999999996</c:v>
                </c:pt>
                <c:pt idx="38">
                  <c:v>4.9000000000000004</c:v>
                </c:pt>
                <c:pt idx="39">
                  <c:v>5</c:v>
                </c:pt>
                <c:pt idx="40">
                  <c:v>4.5</c:v>
                </c:pt>
                <c:pt idx="41">
                  <c:v>4.0999999999999996</c:v>
                </c:pt>
                <c:pt idx="42">
                  <c:v>4.4000000000000004</c:v>
                </c:pt>
                <c:pt idx="43">
                  <c:v>4.0999999999999996</c:v>
                </c:pt>
                <c:pt idx="44">
                  <c:v>4.9000000000000004</c:v>
                </c:pt>
                <c:pt idx="45">
                  <c:v>4.4000000000000004</c:v>
                </c:pt>
                <c:pt idx="46">
                  <c:v>4.0999999999999996</c:v>
                </c:pt>
                <c:pt idx="47">
                  <c:v>3.1</c:v>
                </c:pt>
                <c:pt idx="48">
                  <c:v>4.2</c:v>
                </c:pt>
                <c:pt idx="49">
                  <c:v>4.0999999999999996</c:v>
                </c:pt>
                <c:pt idx="50">
                  <c:v>4.3</c:v>
                </c:pt>
                <c:pt idx="51">
                  <c:v>3.8</c:v>
                </c:pt>
                <c:pt idx="52">
                  <c:v>4</c:v>
                </c:pt>
                <c:pt idx="53">
                  <c:v>3.6</c:v>
                </c:pt>
                <c:pt idx="54">
                  <c:v>4.5</c:v>
                </c:pt>
                <c:pt idx="55">
                  <c:v>5</c:v>
                </c:pt>
                <c:pt idx="56">
                  <c:v>4.2</c:v>
                </c:pt>
                <c:pt idx="57">
                  <c:v>3.7</c:v>
                </c:pt>
                <c:pt idx="58">
                  <c:v>3.5</c:v>
                </c:pt>
                <c:pt idx="59">
                  <c:v>3.2</c:v>
                </c:pt>
                <c:pt idx="60">
                  <c:v>3.7</c:v>
                </c:pt>
                <c:pt idx="61">
                  <c:v>4.2</c:v>
                </c:pt>
                <c:pt idx="62">
                  <c:v>4.4000000000000004</c:v>
                </c:pt>
                <c:pt idx="63">
                  <c:v>4.0999999999999996</c:v>
                </c:pt>
                <c:pt idx="64">
                  <c:v>4.0999999999999996</c:v>
                </c:pt>
                <c:pt idx="65">
                  <c:v>4.2</c:v>
                </c:pt>
                <c:pt idx="66">
                  <c:v>4.4000000000000004</c:v>
                </c:pt>
                <c:pt idx="67">
                  <c:v>4.8</c:v>
                </c:pt>
                <c:pt idx="68">
                  <c:v>4.9000000000000004</c:v>
                </c:pt>
                <c:pt idx="69">
                  <c:v>4.4000000000000004</c:v>
                </c:pt>
                <c:pt idx="70">
                  <c:v>4.0999999999999996</c:v>
                </c:pt>
                <c:pt idx="71">
                  <c:v>4.0999999999999996</c:v>
                </c:pt>
                <c:pt idx="72">
                  <c:v>3.8</c:v>
                </c:pt>
                <c:pt idx="73">
                  <c:v>3.9</c:v>
                </c:pt>
                <c:pt idx="74">
                  <c:v>4.4000000000000004</c:v>
                </c:pt>
                <c:pt idx="75">
                  <c:v>4.9000000000000004</c:v>
                </c:pt>
                <c:pt idx="76">
                  <c:v>4.5999999999999996</c:v>
                </c:pt>
                <c:pt idx="77">
                  <c:v>4.2</c:v>
                </c:pt>
                <c:pt idx="78">
                  <c:v>4.5</c:v>
                </c:pt>
                <c:pt idx="79">
                  <c:v>4.9000000000000004</c:v>
                </c:pt>
                <c:pt idx="80">
                  <c:v>3.7</c:v>
                </c:pt>
                <c:pt idx="81">
                  <c:v>4.2</c:v>
                </c:pt>
                <c:pt idx="82">
                  <c:v>4.2</c:v>
                </c:pt>
                <c:pt idx="83">
                  <c:v>3.9</c:v>
                </c:pt>
                <c:pt idx="84">
                  <c:v>4</c:v>
                </c:pt>
                <c:pt idx="85">
                  <c:v>4</c:v>
                </c:pt>
                <c:pt idx="86">
                  <c:v>4.4000000000000004</c:v>
                </c:pt>
                <c:pt idx="87">
                  <c:v>4.5</c:v>
                </c:pt>
                <c:pt idx="88">
                  <c:v>4.7</c:v>
                </c:pt>
                <c:pt idx="89">
                  <c:v>5</c:v>
                </c:pt>
                <c:pt idx="90">
                  <c:v>5</c:v>
                </c:pt>
                <c:pt idx="91">
                  <c:v>4.8</c:v>
                </c:pt>
                <c:pt idx="92">
                  <c:v>5.0999999999999996</c:v>
                </c:pt>
                <c:pt idx="93">
                  <c:v>5.0999999999999996</c:v>
                </c:pt>
                <c:pt idx="94">
                  <c:v>4.5999999999999996</c:v>
                </c:pt>
                <c:pt idx="95">
                  <c:v>3</c:v>
                </c:pt>
                <c:pt idx="96">
                  <c:v>4.7</c:v>
                </c:pt>
                <c:pt idx="97">
                  <c:v>4.8</c:v>
                </c:pt>
                <c:pt idx="98">
                  <c:v>4.9000000000000004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BF-48A2-95FC-A942BFD80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465608"/>
        <c:axId val="538464432"/>
      </c:scatterChart>
      <c:valAx>
        <c:axId val="538465608"/>
        <c:scaling>
          <c:orientation val="minMax"/>
          <c:min val="2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Coleta mensal prod. Unid.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8464432"/>
        <c:crosses val="autoZero"/>
        <c:crossBetween val="midCat"/>
      </c:valAx>
      <c:valAx>
        <c:axId val="538464432"/>
        <c:scaling>
          <c:orientation val="minMax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peças refugadas média dia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8465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 paperSize="9"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38101</xdr:colOff>
      <xdr:row>29</xdr:row>
      <xdr:rowOff>114299</xdr:rowOff>
    </xdr:from>
    <xdr:to>
      <xdr:col>11</xdr:col>
      <xdr:colOff>504825</xdr:colOff>
      <xdr:row>48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91604</xdr:rowOff>
    </xdr:from>
    <xdr:to>
      <xdr:col>8</xdr:col>
      <xdr:colOff>123825</xdr:colOff>
      <xdr:row>29</xdr:row>
      <xdr:rowOff>1147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127DFC-A176-432E-90D4-76E96E7F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2977679"/>
          <a:ext cx="5286375" cy="2309843"/>
        </a:xfrm>
        <a:prstGeom prst="rect">
          <a:avLst/>
        </a:prstGeom>
      </xdr:spPr>
    </xdr:pic>
    <xdr:clientData/>
  </xdr:twoCellAnchor>
  <xdr:twoCellAnchor editAs="oneCell">
    <xdr:from>
      <xdr:col>13</xdr:col>
      <xdr:colOff>590550</xdr:colOff>
      <xdr:row>36</xdr:row>
      <xdr:rowOff>0</xdr:rowOff>
    </xdr:from>
    <xdr:to>
      <xdr:col>16</xdr:col>
      <xdr:colOff>333374</xdr:colOff>
      <xdr:row>50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87C134-48D1-45DB-9D0E-FC209E692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6172200"/>
          <a:ext cx="2762249" cy="251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989EA3"/>
      </a:dk1>
      <a:lt1>
        <a:sysClr val="window" lastClr="2F3135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Q103"/>
  <sheetViews>
    <sheetView tabSelected="1" topLeftCell="A58" workbookViewId="0">
      <selection activeCell="F27" sqref="F27"/>
    </sheetView>
  </sheetViews>
  <sheetFormatPr defaultRowHeight="15" x14ac:dyDescent="0.25"/>
  <cols>
    <col min="2" max="2" width="7.28515625" bestFit="1" customWidth="1"/>
    <col min="3" max="3" width="24.28515625" bestFit="1" customWidth="1"/>
    <col min="4" max="4" width="24.7109375" bestFit="1" customWidth="1"/>
    <col min="6" max="6" width="29.42578125" customWidth="1"/>
    <col min="7" max="7" width="11.140625" customWidth="1"/>
    <col min="8" max="8" width="8.85546875" customWidth="1"/>
    <col min="14" max="14" width="23.28515625" bestFit="1" customWidth="1"/>
    <col min="15" max="15" width="12.7109375" bestFit="1" customWidth="1"/>
    <col min="16" max="16" width="23.28515625" bestFit="1" customWidth="1"/>
    <col min="17" max="17" width="12.7109375" bestFit="1" customWidth="1"/>
  </cols>
  <sheetData>
    <row r="1" spans="2:17" ht="17.25" customHeight="1" thickBot="1" x14ac:dyDescent="0.3">
      <c r="B1" s="33" t="s">
        <v>1</v>
      </c>
      <c r="C1" s="33"/>
      <c r="D1" s="33"/>
    </row>
    <row r="2" spans="2:17" ht="15.75" thickBot="1" x14ac:dyDescent="0.3">
      <c r="B2" s="15" t="s">
        <v>0</v>
      </c>
      <c r="C2" s="13" t="s">
        <v>2</v>
      </c>
      <c r="D2" s="14" t="s">
        <v>3</v>
      </c>
      <c r="N2" s="26" t="s">
        <v>2</v>
      </c>
      <c r="O2" s="26"/>
      <c r="P2" s="26" t="s">
        <v>3</v>
      </c>
      <c r="Q2" s="26"/>
    </row>
    <row r="3" spans="2:17" x14ac:dyDescent="0.25">
      <c r="B3" s="11">
        <v>39814</v>
      </c>
      <c r="C3" s="6">
        <v>450</v>
      </c>
      <c r="D3" s="7">
        <v>4.5</v>
      </c>
      <c r="N3" s="16"/>
      <c r="O3" s="16"/>
      <c r="P3" s="30"/>
      <c r="Q3" s="16"/>
    </row>
    <row r="4" spans="2:17" x14ac:dyDescent="0.25">
      <c r="B4" s="11">
        <v>39845</v>
      </c>
      <c r="C4" s="6">
        <v>435</v>
      </c>
      <c r="D4" s="7">
        <v>4.4000000000000004</v>
      </c>
      <c r="F4" t="s">
        <v>5</v>
      </c>
      <c r="G4" t="s">
        <v>4</v>
      </c>
      <c r="N4" s="28" t="s">
        <v>65</v>
      </c>
      <c r="O4" s="16">
        <v>433.86868686868689</v>
      </c>
      <c r="P4" s="31" t="s">
        <v>65</v>
      </c>
      <c r="Q4" s="16">
        <v>4.3131313131313123</v>
      </c>
    </row>
    <row r="5" spans="2:17" x14ac:dyDescent="0.25">
      <c r="B5" s="11">
        <v>39873</v>
      </c>
      <c r="C5" s="6">
        <v>480</v>
      </c>
      <c r="D5" s="7">
        <v>4.5999999999999996</v>
      </c>
      <c r="F5" t="s">
        <v>6</v>
      </c>
      <c r="G5" t="s">
        <v>7</v>
      </c>
      <c r="N5" s="28" t="s">
        <v>66</v>
      </c>
      <c r="O5" s="16">
        <v>4.8576446236166619</v>
      </c>
      <c r="P5" s="31" t="s">
        <v>66</v>
      </c>
      <c r="Q5" s="16">
        <v>5.1460757617980725E-2</v>
      </c>
    </row>
    <row r="6" spans="2:17" x14ac:dyDescent="0.25">
      <c r="B6" s="11">
        <v>39904</v>
      </c>
      <c r="C6" s="6">
        <v>470</v>
      </c>
      <c r="D6" s="7">
        <v>4.8</v>
      </c>
      <c r="F6" t="s">
        <v>8</v>
      </c>
      <c r="G6" t="s">
        <v>9</v>
      </c>
      <c r="N6" s="28" t="s">
        <v>67</v>
      </c>
      <c r="O6" s="16">
        <v>430</v>
      </c>
      <c r="P6" s="31" t="s">
        <v>67</v>
      </c>
      <c r="Q6" s="16">
        <v>4.4000000000000004</v>
      </c>
    </row>
    <row r="7" spans="2:17" x14ac:dyDescent="0.25">
      <c r="B7" s="11">
        <v>39934</v>
      </c>
      <c r="C7" s="6">
        <v>494</v>
      </c>
      <c r="D7" s="7">
        <v>5</v>
      </c>
      <c r="F7" t="s">
        <v>10</v>
      </c>
      <c r="G7" t="s">
        <v>11</v>
      </c>
      <c r="N7" s="28" t="s">
        <v>68</v>
      </c>
      <c r="O7" s="16">
        <v>430</v>
      </c>
      <c r="P7" s="31" t="s">
        <v>68</v>
      </c>
      <c r="Q7" s="16">
        <v>4.0999999999999996</v>
      </c>
    </row>
    <row r="8" spans="2:17" x14ac:dyDescent="0.25">
      <c r="B8" s="11">
        <v>39965</v>
      </c>
      <c r="C8" s="6">
        <v>513</v>
      </c>
      <c r="D8" s="7">
        <v>5.2</v>
      </c>
      <c r="F8" t="s">
        <v>12</v>
      </c>
      <c r="G8" t="s">
        <v>13</v>
      </c>
      <c r="N8" s="28" t="s">
        <v>69</v>
      </c>
      <c r="O8" s="16">
        <v>48.332953744270938</v>
      </c>
      <c r="P8" s="31" t="s">
        <v>69</v>
      </c>
      <c r="Q8" s="16">
        <v>0.51202807333879607</v>
      </c>
    </row>
    <row r="9" spans="2:17" x14ac:dyDescent="0.25">
      <c r="B9" s="11">
        <v>39995</v>
      </c>
      <c r="C9" s="6">
        <v>503</v>
      </c>
      <c r="D9" s="7">
        <v>4.9000000000000004</v>
      </c>
      <c r="G9" t="s">
        <v>14</v>
      </c>
      <c r="N9" s="28" t="s">
        <v>70</v>
      </c>
      <c r="O9" s="16">
        <v>2336.0744176458338</v>
      </c>
      <c r="P9" s="31" t="s">
        <v>70</v>
      </c>
      <c r="Q9" s="16">
        <v>0.26217274788703954</v>
      </c>
    </row>
    <row r="10" spans="2:17" x14ac:dyDescent="0.25">
      <c r="B10" s="11">
        <v>40026</v>
      </c>
      <c r="C10" s="6">
        <v>502</v>
      </c>
      <c r="D10" s="7">
        <v>4.9000000000000004</v>
      </c>
      <c r="G10" t="s">
        <v>15</v>
      </c>
      <c r="N10" s="28" t="s">
        <v>71</v>
      </c>
      <c r="O10" s="16">
        <v>-0.10123814850398682</v>
      </c>
      <c r="P10" s="31" t="s">
        <v>71</v>
      </c>
      <c r="Q10" s="16">
        <v>0.10111087606566427</v>
      </c>
    </row>
    <row r="11" spans="2:17" x14ac:dyDescent="0.25">
      <c r="B11" s="11">
        <v>40057</v>
      </c>
      <c r="C11" s="6">
        <v>430</v>
      </c>
      <c r="D11" s="7">
        <v>4</v>
      </c>
      <c r="G11" t="s">
        <v>16</v>
      </c>
      <c r="N11" s="28" t="s">
        <v>72</v>
      </c>
      <c r="O11" s="16">
        <v>-0.47199445045960758</v>
      </c>
      <c r="P11" s="31" t="s">
        <v>72</v>
      </c>
      <c r="Q11" s="16">
        <v>-0.48250570234126805</v>
      </c>
    </row>
    <row r="12" spans="2:17" x14ac:dyDescent="0.25">
      <c r="B12" s="11">
        <v>40087</v>
      </c>
      <c r="C12" s="6">
        <v>400</v>
      </c>
      <c r="D12" s="7">
        <v>4</v>
      </c>
      <c r="F12" t="s">
        <v>17</v>
      </c>
      <c r="G12" t="s">
        <v>18</v>
      </c>
      <c r="N12" s="28" t="s">
        <v>73</v>
      </c>
      <c r="O12" s="16">
        <v>213</v>
      </c>
      <c r="P12" s="31" t="s">
        <v>73</v>
      </c>
      <c r="Q12" s="16">
        <v>2.4000000000000004</v>
      </c>
    </row>
    <row r="13" spans="2:17" x14ac:dyDescent="0.25">
      <c r="B13" s="11">
        <v>40118</v>
      </c>
      <c r="C13" s="6">
        <v>380</v>
      </c>
      <c r="D13" s="7">
        <v>3.9</v>
      </c>
      <c r="F13" t="s">
        <v>19</v>
      </c>
      <c r="G13" t="s">
        <v>20</v>
      </c>
      <c r="N13" s="28" t="s">
        <v>74</v>
      </c>
      <c r="O13" s="16">
        <v>300</v>
      </c>
      <c r="P13" s="31" t="s">
        <v>74</v>
      </c>
      <c r="Q13" s="16">
        <v>3</v>
      </c>
    </row>
    <row r="14" spans="2:17" x14ac:dyDescent="0.25">
      <c r="B14" s="11">
        <v>40148</v>
      </c>
      <c r="C14" s="6">
        <v>350</v>
      </c>
      <c r="D14" s="7">
        <v>3.1</v>
      </c>
      <c r="N14" s="28" t="s">
        <v>75</v>
      </c>
      <c r="O14" s="16">
        <v>513</v>
      </c>
      <c r="P14" s="31" t="s">
        <v>75</v>
      </c>
      <c r="Q14" s="16">
        <v>5.4</v>
      </c>
    </row>
    <row r="15" spans="2:17" x14ac:dyDescent="0.25">
      <c r="B15" s="11">
        <v>40179</v>
      </c>
      <c r="C15" s="6">
        <v>410</v>
      </c>
      <c r="D15" s="7">
        <v>4.5</v>
      </c>
      <c r="F15" t="s">
        <v>21</v>
      </c>
      <c r="N15" s="28" t="s">
        <v>76</v>
      </c>
      <c r="O15" s="16">
        <v>42953</v>
      </c>
      <c r="P15" s="31" t="s">
        <v>76</v>
      </c>
      <c r="Q15" s="16">
        <v>426.99999999999989</v>
      </c>
    </row>
    <row r="16" spans="2:17" ht="15.75" thickBot="1" x14ac:dyDescent="0.3">
      <c r="B16" s="11">
        <v>40210</v>
      </c>
      <c r="C16" s="6">
        <v>430</v>
      </c>
      <c r="D16" s="7">
        <v>4.5</v>
      </c>
      <c r="N16" s="28" t="s">
        <v>77</v>
      </c>
      <c r="O16" s="16">
        <v>99</v>
      </c>
      <c r="P16" s="31" t="s">
        <v>77</v>
      </c>
      <c r="Q16" s="16">
        <v>99</v>
      </c>
    </row>
    <row r="17" spans="2:17" x14ac:dyDescent="0.25">
      <c r="B17" s="11">
        <v>40238</v>
      </c>
      <c r="C17" s="6">
        <v>470</v>
      </c>
      <c r="D17" s="7">
        <v>4.9000000000000004</v>
      </c>
      <c r="F17" s="18"/>
      <c r="G17" s="18" t="s">
        <v>2</v>
      </c>
      <c r="H17" s="18" t="s">
        <v>3</v>
      </c>
      <c r="N17" s="28" t="s">
        <v>78</v>
      </c>
      <c r="O17" s="16">
        <v>9.6398376611353545</v>
      </c>
      <c r="P17" s="31" t="s">
        <v>78</v>
      </c>
      <c r="Q17" s="16">
        <v>0.10212219867723202</v>
      </c>
    </row>
    <row r="18" spans="2:17" ht="15.75" thickBot="1" x14ac:dyDescent="0.3">
      <c r="B18" s="11">
        <v>40269</v>
      </c>
      <c r="C18" s="6">
        <v>489</v>
      </c>
      <c r="D18" s="7">
        <v>4.8</v>
      </c>
      <c r="F18" s="16" t="s">
        <v>2</v>
      </c>
      <c r="G18" s="16">
        <v>1</v>
      </c>
      <c r="H18" s="16"/>
      <c r="N18" s="29" t="s">
        <v>79</v>
      </c>
      <c r="O18" s="27">
        <f>O8/O4</f>
        <v>0.11139995857525255</v>
      </c>
      <c r="P18" s="32" t="s">
        <v>79</v>
      </c>
      <c r="Q18" s="27">
        <f>Q8/Q4</f>
        <v>0.11871376876004876</v>
      </c>
    </row>
    <row r="19" spans="2:17" ht="15.75" thickBot="1" x14ac:dyDescent="0.3">
      <c r="B19" s="11">
        <v>40299</v>
      </c>
      <c r="C19" s="6">
        <v>507</v>
      </c>
      <c r="D19" s="7">
        <v>5.4</v>
      </c>
      <c r="F19" s="17" t="s">
        <v>3</v>
      </c>
      <c r="G19" s="17">
        <v>0.95554483183068561</v>
      </c>
      <c r="H19" s="17">
        <v>1</v>
      </c>
    </row>
    <row r="20" spans="2:17" x14ac:dyDescent="0.25">
      <c r="B20" s="11">
        <v>40330</v>
      </c>
      <c r="C20" s="6">
        <v>499</v>
      </c>
      <c r="D20" s="7">
        <v>4.5999999999999996</v>
      </c>
    </row>
    <row r="21" spans="2:17" x14ac:dyDescent="0.25">
      <c r="B21" s="11">
        <v>40360</v>
      </c>
      <c r="C21" s="6">
        <v>477</v>
      </c>
      <c r="D21" s="7">
        <v>4.4000000000000004</v>
      </c>
    </row>
    <row r="22" spans="2:17" x14ac:dyDescent="0.25">
      <c r="B22" s="11">
        <v>40391</v>
      </c>
      <c r="C22" s="6">
        <v>429</v>
      </c>
      <c r="D22" s="7">
        <v>4.2</v>
      </c>
      <c r="F22" s="34" t="s">
        <v>57</v>
      </c>
      <c r="G22" s="34">
        <f>CORREL(C3:C101,D3:D101)</f>
        <v>0.95554483183068561</v>
      </c>
    </row>
    <row r="23" spans="2:17" x14ac:dyDescent="0.25">
      <c r="B23" s="11">
        <v>40422</v>
      </c>
      <c r="C23" s="6">
        <v>400</v>
      </c>
      <c r="D23" s="7">
        <v>3.9</v>
      </c>
      <c r="F23" s="34" t="s">
        <v>58</v>
      </c>
      <c r="G23" s="35">
        <f>G22^2</f>
        <v>0.91306592563833322</v>
      </c>
    </row>
    <row r="24" spans="2:17" x14ac:dyDescent="0.25">
      <c r="B24" s="11">
        <v>40452</v>
      </c>
      <c r="C24" s="6">
        <v>420</v>
      </c>
      <c r="D24" s="7">
        <v>4.0999999999999996</v>
      </c>
    </row>
    <row r="25" spans="2:17" x14ac:dyDescent="0.25">
      <c r="B25" s="11">
        <v>40483</v>
      </c>
      <c r="C25" s="6">
        <v>399</v>
      </c>
      <c r="D25" s="7">
        <v>3.8</v>
      </c>
    </row>
    <row r="26" spans="2:17" x14ac:dyDescent="0.25">
      <c r="B26" s="11">
        <v>40513</v>
      </c>
      <c r="C26" s="6">
        <v>373</v>
      </c>
      <c r="D26" s="7">
        <v>3.5</v>
      </c>
    </row>
    <row r="27" spans="2:17" x14ac:dyDescent="0.25">
      <c r="B27" s="11">
        <v>40544</v>
      </c>
      <c r="C27" s="6">
        <v>410</v>
      </c>
      <c r="D27" s="7">
        <v>4</v>
      </c>
    </row>
    <row r="28" spans="2:17" x14ac:dyDescent="0.25">
      <c r="B28" s="11">
        <v>40575</v>
      </c>
      <c r="C28" s="6">
        <v>428</v>
      </c>
      <c r="D28" s="7">
        <v>4.0999999999999996</v>
      </c>
      <c r="G28">
        <v>8.69</v>
      </c>
      <c r="H28">
        <v>0.4451</v>
      </c>
    </row>
    <row r="29" spans="2:17" x14ac:dyDescent="0.25">
      <c r="B29" s="11">
        <v>40603</v>
      </c>
      <c r="C29" s="6">
        <v>473</v>
      </c>
      <c r="D29" s="7">
        <v>4.4000000000000004</v>
      </c>
    </row>
    <row r="30" spans="2:17" x14ac:dyDescent="0.25">
      <c r="B30" s="11">
        <v>40634</v>
      </c>
      <c r="C30" s="6">
        <v>440</v>
      </c>
      <c r="D30" s="7">
        <v>4.5</v>
      </c>
    </row>
    <row r="31" spans="2:17" x14ac:dyDescent="0.25">
      <c r="B31" s="11">
        <v>40664</v>
      </c>
      <c r="C31" s="6">
        <v>430</v>
      </c>
      <c r="D31" s="7">
        <v>4.2</v>
      </c>
    </row>
    <row r="32" spans="2:17" x14ac:dyDescent="0.25">
      <c r="B32" s="11">
        <v>40695</v>
      </c>
      <c r="C32" s="6">
        <v>400</v>
      </c>
      <c r="D32" s="7">
        <v>4.0999999999999996</v>
      </c>
    </row>
    <row r="33" spans="2:4" x14ac:dyDescent="0.25">
      <c r="B33" s="11">
        <v>40725</v>
      </c>
      <c r="C33" s="6">
        <v>340</v>
      </c>
      <c r="D33" s="7">
        <v>3.3</v>
      </c>
    </row>
    <row r="34" spans="2:4" x14ac:dyDescent="0.25">
      <c r="B34" s="11">
        <v>40756</v>
      </c>
      <c r="C34" s="6">
        <v>433</v>
      </c>
      <c r="D34" s="7">
        <v>4.4000000000000004</v>
      </c>
    </row>
    <row r="35" spans="2:4" x14ac:dyDescent="0.25">
      <c r="B35" s="11">
        <v>40787</v>
      </c>
      <c r="C35" s="6">
        <v>489</v>
      </c>
      <c r="D35" s="7">
        <v>4.7</v>
      </c>
    </row>
    <row r="36" spans="2:4" x14ac:dyDescent="0.25">
      <c r="B36" s="11">
        <v>40817</v>
      </c>
      <c r="C36" s="6">
        <v>477</v>
      </c>
      <c r="D36" s="7">
        <v>4.8</v>
      </c>
    </row>
    <row r="37" spans="2:4" x14ac:dyDescent="0.25">
      <c r="B37" s="11">
        <v>40848</v>
      </c>
      <c r="C37" s="6">
        <v>400</v>
      </c>
      <c r="D37" s="7">
        <v>4.0999999999999996</v>
      </c>
    </row>
    <row r="38" spans="2:4" x14ac:dyDescent="0.25">
      <c r="B38" s="11">
        <v>40878</v>
      </c>
      <c r="C38" s="6">
        <v>320</v>
      </c>
      <c r="D38" s="7">
        <v>3</v>
      </c>
    </row>
    <row r="39" spans="2:4" x14ac:dyDescent="0.25">
      <c r="B39" s="11">
        <v>40909</v>
      </c>
      <c r="C39" s="6">
        <v>400</v>
      </c>
      <c r="D39" s="7">
        <v>4.0999999999999996</v>
      </c>
    </row>
    <row r="40" spans="2:4" x14ac:dyDescent="0.25">
      <c r="B40" s="11">
        <v>40940</v>
      </c>
      <c r="C40" s="6">
        <v>477</v>
      </c>
      <c r="D40" s="7">
        <v>4.5999999999999996</v>
      </c>
    </row>
    <row r="41" spans="2:4" x14ac:dyDescent="0.25">
      <c r="B41" s="11">
        <v>40969</v>
      </c>
      <c r="C41" s="6">
        <v>488</v>
      </c>
      <c r="D41" s="7">
        <v>4.9000000000000004</v>
      </c>
    </row>
    <row r="42" spans="2:4" x14ac:dyDescent="0.25">
      <c r="B42" s="11">
        <v>41000</v>
      </c>
      <c r="C42" s="6">
        <v>490</v>
      </c>
      <c r="D42" s="7">
        <v>5</v>
      </c>
    </row>
    <row r="43" spans="2:4" x14ac:dyDescent="0.25">
      <c r="B43" s="11">
        <v>41030</v>
      </c>
      <c r="C43" s="6">
        <v>467</v>
      </c>
      <c r="D43" s="7">
        <v>4.5</v>
      </c>
    </row>
    <row r="44" spans="2:4" x14ac:dyDescent="0.25">
      <c r="B44" s="11">
        <v>41061</v>
      </c>
      <c r="C44" s="6">
        <v>400</v>
      </c>
      <c r="D44" s="7">
        <v>4.0999999999999996</v>
      </c>
    </row>
    <row r="45" spans="2:4" x14ac:dyDescent="0.25">
      <c r="B45" s="11">
        <v>41091</v>
      </c>
      <c r="C45" s="6">
        <v>432</v>
      </c>
      <c r="D45" s="7">
        <v>4.4000000000000004</v>
      </c>
    </row>
    <row r="46" spans="2:4" x14ac:dyDescent="0.25">
      <c r="B46" s="11">
        <v>41122</v>
      </c>
      <c r="C46" s="6">
        <v>432</v>
      </c>
      <c r="D46" s="7">
        <v>4.0999999999999996</v>
      </c>
    </row>
    <row r="47" spans="2:4" x14ac:dyDescent="0.25">
      <c r="B47" s="11">
        <v>41153</v>
      </c>
      <c r="C47" s="6">
        <v>489</v>
      </c>
      <c r="D47" s="7">
        <v>4.9000000000000004</v>
      </c>
    </row>
    <row r="48" spans="2:4" x14ac:dyDescent="0.25">
      <c r="B48" s="11">
        <v>41183</v>
      </c>
      <c r="C48" s="6">
        <v>430</v>
      </c>
      <c r="D48" s="7">
        <v>4.4000000000000004</v>
      </c>
    </row>
    <row r="49" spans="2:4" x14ac:dyDescent="0.25">
      <c r="B49" s="11">
        <v>41214</v>
      </c>
      <c r="C49" s="6">
        <v>400</v>
      </c>
      <c r="D49" s="7">
        <v>4.0999999999999996</v>
      </c>
    </row>
    <row r="50" spans="2:4" x14ac:dyDescent="0.25">
      <c r="B50" s="11">
        <v>41244</v>
      </c>
      <c r="C50" s="6">
        <v>320</v>
      </c>
      <c r="D50" s="7">
        <v>3.1</v>
      </c>
    </row>
    <row r="51" spans="2:4" x14ac:dyDescent="0.25">
      <c r="B51" s="11">
        <v>41275</v>
      </c>
      <c r="C51" s="6">
        <v>410</v>
      </c>
      <c r="D51" s="7">
        <v>4.2</v>
      </c>
    </row>
    <row r="52" spans="2:4" x14ac:dyDescent="0.25">
      <c r="B52" s="11">
        <v>41306</v>
      </c>
      <c r="C52" s="6">
        <v>430</v>
      </c>
      <c r="D52" s="7">
        <v>4.0999999999999996</v>
      </c>
    </row>
    <row r="53" spans="2:4" x14ac:dyDescent="0.25">
      <c r="B53" s="11">
        <v>41334</v>
      </c>
      <c r="C53" s="6">
        <v>433</v>
      </c>
      <c r="D53" s="7">
        <v>4.3</v>
      </c>
    </row>
    <row r="54" spans="2:4" x14ac:dyDescent="0.25">
      <c r="B54" s="11">
        <v>41365</v>
      </c>
      <c r="C54" s="6">
        <v>389</v>
      </c>
      <c r="D54" s="7">
        <v>3.8</v>
      </c>
    </row>
    <row r="55" spans="2:4" x14ac:dyDescent="0.25">
      <c r="B55" s="11">
        <v>41395</v>
      </c>
      <c r="C55" s="6">
        <v>403</v>
      </c>
      <c r="D55" s="7">
        <v>4</v>
      </c>
    </row>
    <row r="56" spans="2:4" x14ac:dyDescent="0.25">
      <c r="B56" s="11">
        <v>41426</v>
      </c>
      <c r="C56" s="6">
        <v>389</v>
      </c>
      <c r="D56" s="7">
        <v>3.6</v>
      </c>
    </row>
    <row r="57" spans="2:4" x14ac:dyDescent="0.25">
      <c r="B57" s="11">
        <v>41456</v>
      </c>
      <c r="C57" s="6">
        <v>433</v>
      </c>
      <c r="D57" s="7">
        <v>4.5</v>
      </c>
    </row>
    <row r="58" spans="2:4" x14ac:dyDescent="0.25">
      <c r="B58" s="11">
        <v>41487</v>
      </c>
      <c r="C58" s="6">
        <v>489</v>
      </c>
      <c r="D58" s="7">
        <v>5</v>
      </c>
    </row>
    <row r="59" spans="2:4" x14ac:dyDescent="0.25">
      <c r="B59" s="11">
        <v>41518</v>
      </c>
      <c r="C59" s="6">
        <v>430</v>
      </c>
      <c r="D59" s="7">
        <v>4.2</v>
      </c>
    </row>
    <row r="60" spans="2:4" x14ac:dyDescent="0.25">
      <c r="B60" s="11">
        <v>41548</v>
      </c>
      <c r="C60" s="6">
        <v>389</v>
      </c>
      <c r="D60" s="7">
        <v>3.7</v>
      </c>
    </row>
    <row r="61" spans="2:4" x14ac:dyDescent="0.25">
      <c r="B61" s="11">
        <v>41579</v>
      </c>
      <c r="C61" s="6">
        <v>330</v>
      </c>
      <c r="D61" s="7">
        <v>3.5</v>
      </c>
    </row>
    <row r="62" spans="2:4" x14ac:dyDescent="0.25">
      <c r="B62" s="11">
        <v>41609</v>
      </c>
      <c r="C62" s="6">
        <v>320</v>
      </c>
      <c r="D62" s="7">
        <v>3.2</v>
      </c>
    </row>
    <row r="63" spans="2:4" x14ac:dyDescent="0.25">
      <c r="B63" s="11">
        <v>41640</v>
      </c>
      <c r="C63" s="6">
        <v>388</v>
      </c>
      <c r="D63" s="7">
        <v>3.7</v>
      </c>
    </row>
    <row r="64" spans="2:4" x14ac:dyDescent="0.25">
      <c r="B64" s="11">
        <v>41671</v>
      </c>
      <c r="C64" s="6">
        <v>430</v>
      </c>
      <c r="D64" s="7">
        <v>4.2</v>
      </c>
    </row>
    <row r="65" spans="2:4" x14ac:dyDescent="0.25">
      <c r="B65" s="11">
        <v>41699</v>
      </c>
      <c r="C65" s="6">
        <v>432</v>
      </c>
      <c r="D65" s="7">
        <v>4.4000000000000004</v>
      </c>
    </row>
    <row r="66" spans="2:4" x14ac:dyDescent="0.25">
      <c r="B66" s="11">
        <v>41730</v>
      </c>
      <c r="C66" s="6">
        <v>399</v>
      </c>
      <c r="D66" s="7">
        <v>4.0999999999999996</v>
      </c>
    </row>
    <row r="67" spans="2:4" x14ac:dyDescent="0.25">
      <c r="B67" s="11">
        <v>41760</v>
      </c>
      <c r="C67" s="6">
        <v>410</v>
      </c>
      <c r="D67" s="7">
        <v>4.0999999999999996</v>
      </c>
    </row>
    <row r="68" spans="2:4" x14ac:dyDescent="0.25">
      <c r="B68" s="11">
        <v>41791</v>
      </c>
      <c r="C68" s="6">
        <v>430</v>
      </c>
      <c r="D68" s="7">
        <v>4.2</v>
      </c>
    </row>
    <row r="69" spans="2:4" x14ac:dyDescent="0.25">
      <c r="B69" s="11">
        <v>41821</v>
      </c>
      <c r="C69" s="6">
        <v>433</v>
      </c>
      <c r="D69" s="7">
        <v>4.4000000000000004</v>
      </c>
    </row>
    <row r="70" spans="2:4" x14ac:dyDescent="0.25">
      <c r="B70" s="11">
        <v>41852</v>
      </c>
      <c r="C70" s="6">
        <v>478</v>
      </c>
      <c r="D70" s="7">
        <v>4.8</v>
      </c>
    </row>
    <row r="71" spans="2:4" x14ac:dyDescent="0.25">
      <c r="B71" s="11">
        <v>41883</v>
      </c>
      <c r="C71" s="6">
        <v>489</v>
      </c>
      <c r="D71" s="7">
        <v>4.9000000000000004</v>
      </c>
    </row>
    <row r="72" spans="2:4" x14ac:dyDescent="0.25">
      <c r="B72" s="11">
        <v>41913</v>
      </c>
      <c r="C72" s="6">
        <v>439</v>
      </c>
      <c r="D72" s="7">
        <v>4.4000000000000004</v>
      </c>
    </row>
    <row r="73" spans="2:4" x14ac:dyDescent="0.25">
      <c r="B73" s="11">
        <v>41944</v>
      </c>
      <c r="C73" s="6">
        <v>400</v>
      </c>
      <c r="D73" s="7">
        <v>4.0999999999999996</v>
      </c>
    </row>
    <row r="74" spans="2:4" x14ac:dyDescent="0.25">
      <c r="B74" s="11">
        <v>41974</v>
      </c>
      <c r="C74" s="6">
        <v>400</v>
      </c>
      <c r="D74" s="7">
        <v>4.0999999999999996</v>
      </c>
    </row>
    <row r="75" spans="2:4" x14ac:dyDescent="0.25">
      <c r="B75" s="11">
        <v>42005</v>
      </c>
      <c r="C75" s="6">
        <v>390</v>
      </c>
      <c r="D75" s="7">
        <v>3.8</v>
      </c>
    </row>
    <row r="76" spans="2:4" x14ac:dyDescent="0.25">
      <c r="B76" s="11">
        <v>42036</v>
      </c>
      <c r="C76" s="6">
        <v>390</v>
      </c>
      <c r="D76" s="7">
        <v>3.9</v>
      </c>
    </row>
    <row r="77" spans="2:4" x14ac:dyDescent="0.25">
      <c r="B77" s="11">
        <v>42064</v>
      </c>
      <c r="C77" s="6">
        <v>430</v>
      </c>
      <c r="D77" s="7">
        <v>4.4000000000000004</v>
      </c>
    </row>
    <row r="78" spans="2:4" x14ac:dyDescent="0.25">
      <c r="B78" s="11">
        <v>42095</v>
      </c>
      <c r="C78" s="6">
        <v>489</v>
      </c>
      <c r="D78" s="7">
        <v>4.9000000000000004</v>
      </c>
    </row>
    <row r="79" spans="2:4" x14ac:dyDescent="0.25">
      <c r="B79" s="11">
        <v>42125</v>
      </c>
      <c r="C79" s="6">
        <v>480</v>
      </c>
      <c r="D79" s="7">
        <v>4.5999999999999996</v>
      </c>
    </row>
    <row r="80" spans="2:4" x14ac:dyDescent="0.25">
      <c r="B80" s="11">
        <v>42156</v>
      </c>
      <c r="C80" s="6">
        <v>429</v>
      </c>
      <c r="D80" s="7">
        <v>4.2</v>
      </c>
    </row>
    <row r="81" spans="2:4" x14ac:dyDescent="0.25">
      <c r="B81" s="11">
        <v>42186</v>
      </c>
      <c r="C81" s="6">
        <v>440</v>
      </c>
      <c r="D81" s="7">
        <v>4.5</v>
      </c>
    </row>
    <row r="82" spans="2:4" x14ac:dyDescent="0.25">
      <c r="B82" s="11">
        <v>42217</v>
      </c>
      <c r="C82" s="6">
        <v>487</v>
      </c>
      <c r="D82" s="7">
        <v>4.9000000000000004</v>
      </c>
    </row>
    <row r="83" spans="2:4" x14ac:dyDescent="0.25">
      <c r="B83" s="11">
        <v>42248</v>
      </c>
      <c r="C83" s="6">
        <v>389</v>
      </c>
      <c r="D83" s="7">
        <v>3.7</v>
      </c>
    </row>
    <row r="84" spans="2:4" x14ac:dyDescent="0.25">
      <c r="B84" s="11">
        <v>42278</v>
      </c>
      <c r="C84" s="6">
        <v>411</v>
      </c>
      <c r="D84" s="7">
        <v>4.2</v>
      </c>
    </row>
    <row r="85" spans="2:4" x14ac:dyDescent="0.25">
      <c r="B85" s="11">
        <v>42309</v>
      </c>
      <c r="C85" s="6">
        <v>430</v>
      </c>
      <c r="D85" s="7">
        <v>4.2</v>
      </c>
    </row>
    <row r="86" spans="2:4" x14ac:dyDescent="0.25">
      <c r="B86" s="11">
        <v>42339</v>
      </c>
      <c r="C86" s="6">
        <v>389</v>
      </c>
      <c r="D86" s="7">
        <v>3.9</v>
      </c>
    </row>
    <row r="87" spans="2:4" x14ac:dyDescent="0.25">
      <c r="B87" s="11">
        <v>42370</v>
      </c>
      <c r="C87" s="6">
        <v>390</v>
      </c>
      <c r="D87" s="7">
        <v>4</v>
      </c>
    </row>
    <row r="88" spans="2:4" x14ac:dyDescent="0.25">
      <c r="B88" s="11">
        <v>42401</v>
      </c>
      <c r="C88" s="6">
        <v>410</v>
      </c>
      <c r="D88" s="7">
        <v>4</v>
      </c>
    </row>
    <row r="89" spans="2:4" x14ac:dyDescent="0.25">
      <c r="B89" s="11">
        <v>42430</v>
      </c>
      <c r="C89" s="6">
        <v>430</v>
      </c>
      <c r="D89" s="7">
        <v>4.4000000000000004</v>
      </c>
    </row>
    <row r="90" spans="2:4" x14ac:dyDescent="0.25">
      <c r="B90" s="11">
        <v>42461</v>
      </c>
      <c r="C90" s="6">
        <v>459</v>
      </c>
      <c r="D90" s="7">
        <v>4.5</v>
      </c>
    </row>
    <row r="91" spans="2:4" x14ac:dyDescent="0.25">
      <c r="B91" s="11">
        <v>42491</v>
      </c>
      <c r="C91" s="6">
        <v>468</v>
      </c>
      <c r="D91" s="7">
        <v>4.7</v>
      </c>
    </row>
    <row r="92" spans="2:4" x14ac:dyDescent="0.25">
      <c r="B92" s="11">
        <v>42522</v>
      </c>
      <c r="C92" s="6">
        <v>490</v>
      </c>
      <c r="D92" s="7">
        <v>5</v>
      </c>
    </row>
    <row r="93" spans="2:4" x14ac:dyDescent="0.25">
      <c r="B93" s="11">
        <v>42552</v>
      </c>
      <c r="C93" s="6">
        <v>499</v>
      </c>
      <c r="D93" s="7">
        <v>5</v>
      </c>
    </row>
    <row r="94" spans="2:4" x14ac:dyDescent="0.25">
      <c r="B94" s="11">
        <v>42583</v>
      </c>
      <c r="C94" s="6">
        <v>478</v>
      </c>
      <c r="D94" s="7">
        <v>4.8</v>
      </c>
    </row>
    <row r="95" spans="2:4" x14ac:dyDescent="0.25">
      <c r="B95" s="11">
        <v>42614</v>
      </c>
      <c r="C95" s="6">
        <v>499</v>
      </c>
      <c r="D95" s="7">
        <v>5.0999999999999996</v>
      </c>
    </row>
    <row r="96" spans="2:4" x14ac:dyDescent="0.25">
      <c r="B96" s="11">
        <v>42644</v>
      </c>
      <c r="C96" s="6">
        <v>503</v>
      </c>
      <c r="D96" s="7">
        <v>5.0999999999999996</v>
      </c>
    </row>
    <row r="97" spans="2:6" x14ac:dyDescent="0.25">
      <c r="B97" s="11">
        <v>42675</v>
      </c>
      <c r="C97" s="6">
        <v>499</v>
      </c>
      <c r="D97" s="7">
        <v>4.5999999999999996</v>
      </c>
    </row>
    <row r="98" spans="2:6" x14ac:dyDescent="0.25">
      <c r="B98" s="11">
        <v>42705</v>
      </c>
      <c r="C98" s="6">
        <v>300</v>
      </c>
      <c r="D98" s="7">
        <v>3</v>
      </c>
    </row>
    <row r="99" spans="2:6" x14ac:dyDescent="0.25">
      <c r="B99" s="11">
        <v>42736</v>
      </c>
      <c r="C99" s="6">
        <v>460</v>
      </c>
      <c r="D99" s="7">
        <v>4.7</v>
      </c>
    </row>
    <row r="100" spans="2:6" x14ac:dyDescent="0.25">
      <c r="B100" s="11">
        <v>42767</v>
      </c>
      <c r="C100" s="6">
        <v>477</v>
      </c>
      <c r="D100" s="7">
        <v>4.8</v>
      </c>
    </row>
    <row r="101" spans="2:6" ht="15.75" thickBot="1" x14ac:dyDescent="0.3">
      <c r="B101" s="12">
        <v>42795</v>
      </c>
      <c r="C101" s="9">
        <v>489</v>
      </c>
      <c r="D101" s="10">
        <v>4.9000000000000004</v>
      </c>
    </row>
    <row r="102" spans="2:6" ht="15.75" thickBot="1" x14ac:dyDescent="0.3">
      <c r="B102" s="21">
        <v>42826</v>
      </c>
      <c r="C102" s="22">
        <v>515</v>
      </c>
      <c r="D102" s="23">
        <v>4.8</v>
      </c>
      <c r="E102" s="24">
        <v>-8.6900000000000005E-2</v>
      </c>
      <c r="F102" s="24">
        <v>8.6900000000000005E-2</v>
      </c>
    </row>
    <row r="103" spans="2:6" x14ac:dyDescent="0.25">
      <c r="B103" s="1"/>
      <c r="D103" s="20">
        <v>5.0999999999999996</v>
      </c>
      <c r="E103" s="25" t="s">
        <v>63</v>
      </c>
      <c r="F103" t="s">
        <v>64</v>
      </c>
    </row>
  </sheetData>
  <mergeCells count="1">
    <mergeCell ref="B1:D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sqref="A1:D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19.140625" bestFit="1" customWidth="1"/>
    <col min="4" max="4" width="8.5703125" bestFit="1" customWidth="1"/>
  </cols>
  <sheetData>
    <row r="1" spans="1:4" x14ac:dyDescent="0.25">
      <c r="A1" s="34" t="s">
        <v>60</v>
      </c>
      <c r="B1" s="36" t="s">
        <v>59</v>
      </c>
      <c r="C1" s="36" t="s">
        <v>61</v>
      </c>
      <c r="D1" s="3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C1:P48"/>
  <sheetViews>
    <sheetView topLeftCell="E1" workbookViewId="0">
      <selection activeCell="M18" sqref="M18:Q53"/>
    </sheetView>
  </sheetViews>
  <sheetFormatPr defaultRowHeight="13.5" customHeight="1" x14ac:dyDescent="0.25"/>
  <cols>
    <col min="4" max="4" width="23.28515625" bestFit="1" customWidth="1"/>
    <col min="13" max="13" width="15.85546875" bestFit="1" customWidth="1"/>
    <col min="15" max="15" width="24.140625" bestFit="1" customWidth="1"/>
    <col min="16" max="16" width="12" bestFit="1" customWidth="1"/>
  </cols>
  <sheetData>
    <row r="1" spans="3:14" ht="13.5" customHeight="1" x14ac:dyDescent="0.25">
      <c r="C1" s="2"/>
      <c r="D1" s="3"/>
      <c r="E1" s="3"/>
      <c r="F1" s="3"/>
      <c r="G1" s="4"/>
      <c r="J1" s="2"/>
      <c r="K1" s="3"/>
      <c r="L1" s="3"/>
      <c r="M1" s="3"/>
      <c r="N1" s="4"/>
    </row>
    <row r="2" spans="3:14" ht="13.5" customHeight="1" x14ac:dyDescent="0.25">
      <c r="C2" s="5" t="s">
        <v>22</v>
      </c>
      <c r="D2" s="6"/>
      <c r="E2" s="6"/>
      <c r="F2" s="6"/>
      <c r="G2" s="7"/>
      <c r="J2" s="5" t="s">
        <v>31</v>
      </c>
      <c r="K2" s="6"/>
      <c r="L2" s="6"/>
      <c r="M2" s="6"/>
      <c r="N2" s="7"/>
    </row>
    <row r="3" spans="3:14" ht="13.5" customHeight="1" x14ac:dyDescent="0.25">
      <c r="C3" s="5" t="s">
        <v>23</v>
      </c>
      <c r="D3" s="6"/>
      <c r="E3" s="6"/>
      <c r="F3" s="6"/>
      <c r="G3" s="7"/>
      <c r="J3" s="5" t="s">
        <v>32</v>
      </c>
      <c r="K3" s="6"/>
      <c r="L3" s="6"/>
      <c r="M3" s="6"/>
      <c r="N3" s="7"/>
    </row>
    <row r="4" spans="3:14" ht="13.5" customHeight="1" x14ac:dyDescent="0.25">
      <c r="C4" s="38" t="s">
        <v>24</v>
      </c>
      <c r="D4" s="39">
        <v>323.77</v>
      </c>
      <c r="E4" s="6"/>
      <c r="F4" s="6"/>
      <c r="G4" s="7"/>
      <c r="J4" s="5" t="s">
        <v>33</v>
      </c>
      <c r="K4" s="6"/>
      <c r="L4" s="6"/>
      <c r="M4" s="6"/>
      <c r="N4" s="7"/>
    </row>
    <row r="5" spans="3:14" ht="13.5" customHeight="1" x14ac:dyDescent="0.25">
      <c r="C5" s="40" t="s">
        <v>25</v>
      </c>
      <c r="D5" s="41">
        <v>13.87</v>
      </c>
      <c r="E5" s="6"/>
      <c r="F5" s="6"/>
      <c r="G5" s="7"/>
      <c r="J5" s="5" t="s">
        <v>34</v>
      </c>
      <c r="K5" s="6"/>
      <c r="L5" s="6"/>
      <c r="M5" s="6"/>
      <c r="N5" s="7"/>
    </row>
    <row r="6" spans="3:14" ht="13.5" customHeight="1" x14ac:dyDescent="0.25">
      <c r="C6" s="40" t="s">
        <v>26</v>
      </c>
      <c r="D6" s="41">
        <v>400</v>
      </c>
      <c r="E6" s="6" t="s">
        <v>29</v>
      </c>
      <c r="F6" s="6"/>
      <c r="G6" s="7"/>
      <c r="J6" s="5" t="s">
        <v>35</v>
      </c>
      <c r="K6" s="6"/>
      <c r="L6" s="6"/>
      <c r="M6" s="6"/>
      <c r="N6" s="7"/>
    </row>
    <row r="7" spans="3:14" ht="13.5" customHeight="1" x14ac:dyDescent="0.25">
      <c r="C7" s="40" t="s">
        <v>27</v>
      </c>
      <c r="D7" s="41">
        <v>1.3</v>
      </c>
      <c r="E7" s="6"/>
      <c r="F7" s="6"/>
      <c r="G7" s="7"/>
      <c r="J7" s="5"/>
      <c r="K7" s="6"/>
      <c r="L7" s="6"/>
      <c r="M7" s="6"/>
      <c r="N7" s="7"/>
    </row>
    <row r="8" spans="3:14" ht="13.5" customHeight="1" x14ac:dyDescent="0.25">
      <c r="C8" s="42" t="s">
        <v>28</v>
      </c>
      <c r="D8" s="43">
        <v>-0.66700000000000004</v>
      </c>
      <c r="E8" s="6"/>
      <c r="F8" s="6"/>
      <c r="G8" s="7"/>
      <c r="J8" s="5"/>
      <c r="K8" s="6"/>
      <c r="L8" s="6"/>
      <c r="M8" s="6"/>
      <c r="N8" s="7"/>
    </row>
    <row r="9" spans="3:14" ht="13.5" customHeight="1" x14ac:dyDescent="0.25">
      <c r="C9" s="5"/>
      <c r="D9" s="6"/>
      <c r="E9" s="6"/>
      <c r="F9" s="6"/>
      <c r="G9" s="7"/>
      <c r="J9" s="5"/>
      <c r="K9" s="6"/>
      <c r="L9" s="6"/>
      <c r="M9" s="6"/>
      <c r="N9" s="7"/>
    </row>
    <row r="10" spans="3:14" ht="13.5" customHeight="1" thickBot="1" x14ac:dyDescent="0.3">
      <c r="C10" s="5" t="s">
        <v>30</v>
      </c>
      <c r="D10" s="6"/>
      <c r="E10" s="6"/>
      <c r="F10" s="6"/>
      <c r="G10" s="7"/>
      <c r="J10" s="8"/>
      <c r="K10" s="9"/>
      <c r="L10" s="9"/>
      <c r="M10" s="9"/>
      <c r="N10" s="10"/>
    </row>
    <row r="11" spans="3:14" ht="13.5" customHeight="1" thickBot="1" x14ac:dyDescent="0.3">
      <c r="C11" s="8"/>
      <c r="D11" s="9"/>
      <c r="E11" s="9"/>
      <c r="F11" s="9"/>
      <c r="G11" s="10"/>
    </row>
    <row r="13" spans="3:14" ht="13.5" customHeight="1" thickBot="1" x14ac:dyDescent="0.3">
      <c r="C13" t="s">
        <v>80</v>
      </c>
      <c r="D13" s="19">
        <f>D5/D4</f>
        <v>4.2839052413750502E-2</v>
      </c>
    </row>
    <row r="14" spans="3:14" ht="13.5" customHeight="1" x14ac:dyDescent="0.25">
      <c r="C14" t="s">
        <v>81</v>
      </c>
      <c r="D14">
        <f>D5^2</f>
        <v>192.37689999999998</v>
      </c>
      <c r="H14" s="2" t="s">
        <v>54</v>
      </c>
      <c r="I14" s="3"/>
      <c r="J14" s="3"/>
      <c r="K14" s="3"/>
      <c r="L14" s="4"/>
    </row>
    <row r="15" spans="3:14" ht="13.5" customHeight="1" x14ac:dyDescent="0.25">
      <c r="H15" s="5" t="s">
        <v>55</v>
      </c>
      <c r="I15" s="6"/>
      <c r="J15" s="6"/>
      <c r="K15" s="6"/>
      <c r="L15" s="7"/>
    </row>
    <row r="16" spans="3:14" ht="13.5" customHeight="1" thickBot="1" x14ac:dyDescent="0.3">
      <c r="H16" s="8" t="s">
        <v>56</v>
      </c>
      <c r="I16" s="9"/>
      <c r="J16" s="9"/>
      <c r="K16" s="9"/>
      <c r="L16" s="10"/>
    </row>
    <row r="18" spans="13:16" ht="13.5" customHeight="1" thickBot="1" x14ac:dyDescent="0.3">
      <c r="M18" s="36" t="s">
        <v>83</v>
      </c>
    </row>
    <row r="19" spans="13:16" ht="13.5" customHeight="1" x14ac:dyDescent="0.25">
      <c r="M19" s="36">
        <v>5</v>
      </c>
      <c r="O19" s="26" t="s">
        <v>83</v>
      </c>
      <c r="P19" s="26"/>
    </row>
    <row r="20" spans="13:16" ht="13.5" customHeight="1" x14ac:dyDescent="0.25">
      <c r="M20" s="36">
        <v>6</v>
      </c>
      <c r="O20" s="16"/>
      <c r="P20" s="16"/>
    </row>
    <row r="21" spans="13:16" ht="13.5" customHeight="1" x14ac:dyDescent="0.25">
      <c r="M21" s="36">
        <v>8</v>
      </c>
      <c r="O21" s="28" t="s">
        <v>65</v>
      </c>
      <c r="P21" s="16">
        <v>19.366666666666667</v>
      </c>
    </row>
    <row r="22" spans="13:16" ht="13.5" customHeight="1" x14ac:dyDescent="0.25">
      <c r="M22" s="36">
        <v>12</v>
      </c>
      <c r="O22" s="28" t="s">
        <v>66</v>
      </c>
      <c r="P22" s="16">
        <v>1.3248147416212044</v>
      </c>
    </row>
    <row r="23" spans="13:16" ht="13.5" customHeight="1" x14ac:dyDescent="0.25">
      <c r="M23" s="36">
        <v>15</v>
      </c>
      <c r="O23" s="28" t="s">
        <v>67</v>
      </c>
      <c r="P23" s="16">
        <v>19</v>
      </c>
    </row>
    <row r="24" spans="13:16" ht="13.5" customHeight="1" x14ac:dyDescent="0.25">
      <c r="M24" s="36">
        <v>16</v>
      </c>
      <c r="O24" s="28" t="s">
        <v>68</v>
      </c>
      <c r="P24" s="16">
        <v>15</v>
      </c>
    </row>
    <row r="25" spans="13:16" ht="13.5" customHeight="1" x14ac:dyDescent="0.25">
      <c r="M25" s="36">
        <v>17</v>
      </c>
      <c r="O25" s="28" t="s">
        <v>69</v>
      </c>
      <c r="P25" s="16">
        <v>7.2563091850131194</v>
      </c>
    </row>
    <row r="26" spans="13:16" ht="13.5" customHeight="1" x14ac:dyDescent="0.25">
      <c r="M26" s="36">
        <v>15</v>
      </c>
      <c r="O26" s="28" t="s">
        <v>70</v>
      </c>
      <c r="P26" s="16">
        <v>52.654022988505766</v>
      </c>
    </row>
    <row r="27" spans="13:16" ht="13.5" customHeight="1" x14ac:dyDescent="0.25">
      <c r="M27" s="36">
        <v>16</v>
      </c>
      <c r="O27" s="28" t="s">
        <v>71</v>
      </c>
      <c r="P27" s="16">
        <v>0.58796437573413796</v>
      </c>
    </row>
    <row r="28" spans="13:16" ht="13.5" customHeight="1" x14ac:dyDescent="0.25">
      <c r="M28" s="36">
        <v>18</v>
      </c>
      <c r="O28" s="28" t="s">
        <v>72</v>
      </c>
      <c r="P28" s="16">
        <v>0.31715597638610538</v>
      </c>
    </row>
    <row r="29" spans="13:16" ht="13.5" customHeight="1" x14ac:dyDescent="0.25">
      <c r="M29" s="36">
        <v>20</v>
      </c>
      <c r="O29" s="28" t="s">
        <v>73</v>
      </c>
      <c r="P29" s="16">
        <v>31</v>
      </c>
    </row>
    <row r="30" spans="13:16" ht="13.5" customHeight="1" x14ac:dyDescent="0.25">
      <c r="M30" s="36">
        <v>22</v>
      </c>
      <c r="O30" s="28" t="s">
        <v>74</v>
      </c>
      <c r="P30" s="16">
        <v>5</v>
      </c>
    </row>
    <row r="31" spans="13:16" ht="13.5" customHeight="1" x14ac:dyDescent="0.25">
      <c r="M31" s="36">
        <v>23</v>
      </c>
      <c r="O31" s="28" t="s">
        <v>75</v>
      </c>
      <c r="P31" s="16">
        <v>36</v>
      </c>
    </row>
    <row r="32" spans="13:16" ht="13.5" customHeight="1" x14ac:dyDescent="0.25">
      <c r="M32" s="36">
        <v>23</v>
      </c>
      <c r="O32" s="28" t="s">
        <v>76</v>
      </c>
      <c r="P32" s="16">
        <v>581</v>
      </c>
    </row>
    <row r="33" spans="13:16" ht="13.5" customHeight="1" x14ac:dyDescent="0.25">
      <c r="M33" s="36">
        <v>25</v>
      </c>
      <c r="O33" s="28" t="s">
        <v>77</v>
      </c>
      <c r="P33" s="16">
        <v>30</v>
      </c>
    </row>
    <row r="34" spans="13:16" ht="13.5" customHeight="1" x14ac:dyDescent="0.25">
      <c r="M34" s="36">
        <v>29</v>
      </c>
      <c r="O34" s="28" t="s">
        <v>78</v>
      </c>
      <c r="P34" s="16">
        <v>2.7095503798980656</v>
      </c>
    </row>
    <row r="35" spans="13:16" ht="13.5" customHeight="1" thickBot="1" x14ac:dyDescent="0.3">
      <c r="M35" s="36">
        <v>22</v>
      </c>
      <c r="O35" s="37" t="s">
        <v>82</v>
      </c>
      <c r="P35" s="27">
        <f>P25/P21</f>
        <v>0.37468033657554833</v>
      </c>
    </row>
    <row r="36" spans="13:16" ht="13.5" customHeight="1" x14ac:dyDescent="0.25">
      <c r="M36" s="36">
        <v>21</v>
      </c>
    </row>
    <row r="37" spans="13:16" ht="13.5" customHeight="1" x14ac:dyDescent="0.25">
      <c r="M37" s="36">
        <v>20</v>
      </c>
    </row>
    <row r="38" spans="13:16" ht="13.5" customHeight="1" x14ac:dyDescent="0.25">
      <c r="M38" s="36">
        <v>19</v>
      </c>
    </row>
    <row r="39" spans="13:16" ht="13.5" customHeight="1" x14ac:dyDescent="0.25">
      <c r="M39" s="36">
        <v>17</v>
      </c>
    </row>
    <row r="40" spans="13:16" ht="13.5" customHeight="1" x14ac:dyDescent="0.25">
      <c r="M40" s="36">
        <v>15</v>
      </c>
    </row>
    <row r="41" spans="13:16" ht="13.5" customHeight="1" x14ac:dyDescent="0.25">
      <c r="M41" s="36">
        <v>14</v>
      </c>
    </row>
    <row r="42" spans="13:16" ht="13.5" customHeight="1" x14ac:dyDescent="0.25">
      <c r="M42" s="36">
        <v>18</v>
      </c>
    </row>
    <row r="43" spans="13:16" ht="13.5" customHeight="1" x14ac:dyDescent="0.25">
      <c r="M43" s="36">
        <v>19</v>
      </c>
    </row>
    <row r="44" spans="13:16" ht="13.5" customHeight="1" x14ac:dyDescent="0.25">
      <c r="M44" s="36">
        <v>20</v>
      </c>
    </row>
    <row r="45" spans="13:16" ht="13.5" customHeight="1" x14ac:dyDescent="0.25">
      <c r="M45" s="36">
        <v>25</v>
      </c>
    </row>
    <row r="46" spans="13:16" ht="13.5" customHeight="1" x14ac:dyDescent="0.25">
      <c r="M46" s="36">
        <v>30</v>
      </c>
    </row>
    <row r="47" spans="13:16" ht="13.5" customHeight="1" x14ac:dyDescent="0.25">
      <c r="M47" s="36">
        <v>35</v>
      </c>
    </row>
    <row r="48" spans="13:16" ht="13.5" customHeight="1" x14ac:dyDescent="0.25">
      <c r="M48" s="36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C2:T24"/>
  <sheetViews>
    <sheetView workbookViewId="0">
      <selection activeCell="O18" sqref="O18"/>
    </sheetView>
  </sheetViews>
  <sheetFormatPr defaultRowHeight="15" x14ac:dyDescent="0.25"/>
  <sheetData>
    <row r="2" spans="3:20" ht="15.75" thickBot="1" x14ac:dyDescent="0.3"/>
    <row r="3" spans="3:20" x14ac:dyDescent="0.25">
      <c r="C3" s="2" t="s">
        <v>52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4"/>
    </row>
    <row r="4" spans="3:20" x14ac:dyDescent="0.25">
      <c r="C4" s="5" t="s">
        <v>36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3:20" x14ac:dyDescent="0.25">
      <c r="C5" s="5" t="s">
        <v>53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</row>
    <row r="6" spans="3:20" x14ac:dyDescent="0.25"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3:20" x14ac:dyDescent="0.25">
      <c r="C7" s="5" t="s">
        <v>38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3:20" x14ac:dyDescent="0.25">
      <c r="C8" s="5"/>
      <c r="D8" s="6"/>
      <c r="E8" s="6" t="s">
        <v>37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7"/>
    </row>
    <row r="9" spans="3:20" x14ac:dyDescent="0.25">
      <c r="C9" s="5"/>
      <c r="D9" s="6"/>
      <c r="E9" s="6" t="s">
        <v>39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7"/>
    </row>
    <row r="10" spans="3:20" x14ac:dyDescent="0.25">
      <c r="C10" s="5"/>
      <c r="D10" s="6"/>
      <c r="E10" s="6" t="s">
        <v>40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7"/>
    </row>
    <row r="11" spans="3:20" x14ac:dyDescent="0.25">
      <c r="C11" s="5"/>
      <c r="D11" s="6"/>
      <c r="E11" s="6" t="s">
        <v>41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7"/>
    </row>
    <row r="12" spans="3:20" x14ac:dyDescent="0.25">
      <c r="C12" s="5"/>
      <c r="D12" s="6"/>
      <c r="E12" s="6" t="s">
        <v>42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7"/>
    </row>
    <row r="13" spans="3:20" ht="15.75" thickBot="1" x14ac:dyDescent="0.3">
      <c r="C13" s="8"/>
      <c r="D13" s="9"/>
      <c r="E13" s="9" t="s">
        <v>51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</row>
    <row r="16" spans="3:20" ht="15.75" thickBot="1" x14ac:dyDescent="0.3"/>
    <row r="17" spans="3:19" x14ac:dyDescent="0.25">
      <c r="C17" s="2" t="s">
        <v>43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</row>
    <row r="18" spans="3:19" x14ac:dyDescent="0.25">
      <c r="C18" s="5" t="s">
        <v>44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7"/>
    </row>
    <row r="19" spans="3:19" x14ac:dyDescent="0.25">
      <c r="C19" s="5" t="s">
        <v>45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7"/>
    </row>
    <row r="20" spans="3:19" x14ac:dyDescent="0.25">
      <c r="C20" s="5" t="s">
        <v>46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7"/>
    </row>
    <row r="21" spans="3:19" x14ac:dyDescent="0.25">
      <c r="C21" s="5" t="s">
        <v>47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7"/>
    </row>
    <row r="22" spans="3:19" x14ac:dyDescent="0.25">
      <c r="C22" s="5" t="s">
        <v>48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7"/>
    </row>
    <row r="23" spans="3:19" x14ac:dyDescent="0.25">
      <c r="C23" s="5"/>
      <c r="D23" s="6" t="s">
        <v>49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7"/>
    </row>
    <row r="24" spans="3:19" ht="15.75" thickBot="1" x14ac:dyDescent="0.3">
      <c r="C24" s="8"/>
      <c r="D24" s="9" t="s">
        <v>50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correlação</vt:lpstr>
      <vt:lpstr>Sheet1</vt:lpstr>
      <vt:lpstr>estatística descritiva</vt:lpstr>
      <vt:lpstr>atributo Z e 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Francisco</dc:creator>
  <cp:lastModifiedBy>José Diniz</cp:lastModifiedBy>
  <cp:lastPrinted>2018-03-22T00:38:19Z</cp:lastPrinted>
  <dcterms:created xsi:type="dcterms:W3CDTF">2018-03-16T12:24:58Z</dcterms:created>
  <dcterms:modified xsi:type="dcterms:W3CDTF">2018-03-22T03:27:50Z</dcterms:modified>
</cp:coreProperties>
</file>